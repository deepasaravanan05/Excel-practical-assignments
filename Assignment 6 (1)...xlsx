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4c7303fb41f617bb/"/>
    </mc:Choice>
  </mc:AlternateContent>
  <xr:revisionPtr revIDLastSave="0" documentId="8_{AED47607-D3F9-4751-B87B-E3E4837133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9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10" i="1"/>
  <c r="H9" i="1" l="1"/>
  <c r="J9" i="1"/>
</calcChain>
</file>

<file path=xl/sharedStrings.xml><?xml version="1.0" encoding="utf-8"?>
<sst xmlns="http://schemas.openxmlformats.org/spreadsheetml/2006/main" count="48" uniqueCount="20">
  <si>
    <t>Record a Macro to format the table of any size, with proper Number Formatting</t>
  </si>
  <si>
    <t>And Profit , Profit % calculation</t>
  </si>
  <si>
    <t>Row ID</t>
  </si>
  <si>
    <t>Order Priority</t>
  </si>
  <si>
    <t>High</t>
  </si>
  <si>
    <t>Not Specified</t>
  </si>
  <si>
    <t>Critical</t>
  </si>
  <si>
    <t>Medium</t>
  </si>
  <si>
    <t>Low</t>
  </si>
  <si>
    <t>Profit</t>
  </si>
  <si>
    <t>Quantity ordered</t>
  </si>
  <si>
    <t>Unit Price</t>
  </si>
  <si>
    <t>Shipping Cost</t>
  </si>
  <si>
    <t>Sales amount</t>
  </si>
  <si>
    <t>Product Margin per unit</t>
  </si>
  <si>
    <t>All amounts are in millions.</t>
  </si>
  <si>
    <t>Sales = (Quantity*Unit Price)</t>
  </si>
  <si>
    <t>Profit = (Quantity*Product Margin)-Shipping Cost</t>
  </si>
  <si>
    <t>Note: Assign a Macro as a 'Command' into the 'Custom Tab'</t>
  </si>
  <si>
    <t>Profit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</si>
</sst>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2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41"/>
  <sheetViews>
    <sheetView tabSelected="1" topLeftCell="C1" zoomScale="90" workbookViewId="0">
      <selection activeCell="K9" sqref="K9:K41"/>
    </sheetView>
  </sheetViews>
  <sheetFormatPr defaultRowHeight="14.4" x14ac:dyDescent="0.3"/>
  <cols>
    <col min="3" max="3" width="30.88671875" customWidth="1"/>
    <col min="4" max="4" width="13.21875" bestFit="1" customWidth="1"/>
    <col min="5" max="5" width="16.44140625" bestFit="1" customWidth="1"/>
    <col min="6" max="6" width="10.33203125" bestFit="1" customWidth="1"/>
    <col min="7" max="8" width="12.77734375" bestFit="1" customWidth="1"/>
    <col min="9" max="9" width="31.77734375" customWidth="1"/>
    <col min="10" max="10" width="8.21875" bestFit="1" customWidth="1"/>
    <col min="11" max="11" width="8.109375" bestFit="1" customWidth="1"/>
  </cols>
  <sheetData>
    <row r="2" spans="3:11" x14ac:dyDescent="0.3">
      <c r="C2" s="1" t="s">
        <v>0</v>
      </c>
      <c r="I2" s="1" t="s">
        <v>18</v>
      </c>
    </row>
    <row r="3" spans="3:11" x14ac:dyDescent="0.3">
      <c r="C3" s="1" t="s">
        <v>1</v>
      </c>
    </row>
    <row r="4" spans="3:11" x14ac:dyDescent="0.3">
      <c r="C4" s="1" t="s">
        <v>15</v>
      </c>
    </row>
    <row r="5" spans="3:11" x14ac:dyDescent="0.3">
      <c r="C5" s="1" t="s">
        <v>16</v>
      </c>
    </row>
    <row r="6" spans="3:11" x14ac:dyDescent="0.3">
      <c r="C6" s="1" t="s">
        <v>17</v>
      </c>
    </row>
    <row r="8" spans="3:11" x14ac:dyDescent="0.3">
      <c r="C8" s="2" t="s">
        <v>2</v>
      </c>
      <c r="D8" s="2" t="s">
        <v>3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9</v>
      </c>
      <c r="K8" s="2" t="s">
        <v>19</v>
      </c>
    </row>
    <row r="9" spans="3:11" x14ac:dyDescent="0.3">
      <c r="C9">
        <v>20847</v>
      </c>
      <c r="D9" t="s">
        <v>4</v>
      </c>
      <c r="E9" s="3">
        <v>4</v>
      </c>
      <c r="F9" s="4">
        <v>2.84</v>
      </c>
      <c r="G9" s="4">
        <v>0.93</v>
      </c>
      <c r="H9" s="3">
        <f>(E9*F9)+G9</f>
        <v>12.29</v>
      </c>
      <c r="I9">
        <v>0.54</v>
      </c>
      <c r="J9" s="3">
        <f>I9*E9-G9</f>
        <v>1.23</v>
      </c>
      <c r="K9" s="5">
        <f>J9/H9</f>
        <v>0.10008136696501221</v>
      </c>
    </row>
    <row r="10" spans="3:11" x14ac:dyDescent="0.3">
      <c r="C10">
        <v>20228</v>
      </c>
      <c r="D10" t="s">
        <v>5</v>
      </c>
      <c r="E10" s="3">
        <v>12</v>
      </c>
      <c r="F10" s="4">
        <v>500.98</v>
      </c>
      <c r="G10" s="4">
        <v>26</v>
      </c>
      <c r="H10" s="4">
        <f>E10*F10</f>
        <v>6011.76</v>
      </c>
      <c r="I10">
        <v>0.6</v>
      </c>
      <c r="J10" s="4">
        <f>(E10*I10)-G10</f>
        <v>-18.8</v>
      </c>
      <c r="K10" s="5">
        <f t="shared" ref="K10:K41" si="0">J10/H10</f>
        <v>-3.1272040134669382E-3</v>
      </c>
    </row>
    <row r="11" spans="3:11" x14ac:dyDescent="0.3">
      <c r="C11">
        <v>21776</v>
      </c>
      <c r="D11" t="s">
        <v>6</v>
      </c>
      <c r="E11" s="3">
        <v>22</v>
      </c>
      <c r="F11" s="4">
        <v>9.48</v>
      </c>
      <c r="G11" s="4">
        <v>7.29</v>
      </c>
      <c r="H11" s="4">
        <f t="shared" ref="H11:H41" si="1">E11*F11</f>
        <v>208.56</v>
      </c>
      <c r="I11">
        <v>0.45</v>
      </c>
      <c r="J11" s="4">
        <f t="shared" ref="J11:J41" si="2">(E11*I11)-G11</f>
        <v>2.6100000000000003</v>
      </c>
      <c r="K11" s="5">
        <f t="shared" si="0"/>
        <v>1.2514384349827389E-2</v>
      </c>
    </row>
    <row r="12" spans="3:11" x14ac:dyDescent="0.3">
      <c r="C12">
        <v>24844</v>
      </c>
      <c r="D12" t="s">
        <v>7</v>
      </c>
      <c r="E12" s="3">
        <v>16</v>
      </c>
      <c r="F12" s="4">
        <v>78.69</v>
      </c>
      <c r="G12" s="4">
        <v>19.989999999999998</v>
      </c>
      <c r="H12" s="4">
        <f t="shared" si="1"/>
        <v>1259.04</v>
      </c>
      <c r="I12">
        <v>0.43</v>
      </c>
      <c r="J12" s="4">
        <f t="shared" si="2"/>
        <v>-13.11</v>
      </c>
      <c r="K12" s="5">
        <f t="shared" si="0"/>
        <v>-1.0412695386961494E-2</v>
      </c>
    </row>
    <row r="13" spans="3:11" x14ac:dyDescent="0.3">
      <c r="C13">
        <v>24846</v>
      </c>
      <c r="D13" t="s">
        <v>7</v>
      </c>
      <c r="E13" s="3">
        <v>7</v>
      </c>
      <c r="F13" s="4">
        <v>3.28</v>
      </c>
      <c r="G13" s="4">
        <v>2.31</v>
      </c>
      <c r="H13" s="4">
        <f t="shared" si="1"/>
        <v>22.959999999999997</v>
      </c>
      <c r="I13">
        <v>0.56000000000000005</v>
      </c>
      <c r="J13" s="4">
        <f t="shared" si="2"/>
        <v>1.6100000000000003</v>
      </c>
      <c r="K13" s="5">
        <f t="shared" si="0"/>
        <v>7.0121951219512216E-2</v>
      </c>
    </row>
    <row r="14" spans="3:11" x14ac:dyDescent="0.3">
      <c r="C14">
        <v>24847</v>
      </c>
      <c r="D14" t="s">
        <v>7</v>
      </c>
      <c r="E14" s="3">
        <v>4</v>
      </c>
      <c r="F14" s="4">
        <v>3.28</v>
      </c>
      <c r="G14" s="4">
        <v>4.2</v>
      </c>
      <c r="H14" s="4">
        <f t="shared" si="1"/>
        <v>13.12</v>
      </c>
      <c r="I14">
        <v>0.56000000000000005</v>
      </c>
      <c r="J14" s="4">
        <f t="shared" si="2"/>
        <v>-1.96</v>
      </c>
      <c r="K14" s="5">
        <f t="shared" si="0"/>
        <v>-0.14939024390243902</v>
      </c>
    </row>
    <row r="15" spans="3:11" x14ac:dyDescent="0.3">
      <c r="C15">
        <v>24848</v>
      </c>
      <c r="D15" t="s">
        <v>7</v>
      </c>
      <c r="E15" s="3">
        <v>4</v>
      </c>
      <c r="F15" s="4">
        <v>3.58</v>
      </c>
      <c r="G15" s="4">
        <v>1.63</v>
      </c>
      <c r="H15" s="4">
        <f t="shared" si="1"/>
        <v>14.32</v>
      </c>
      <c r="I15">
        <v>0.36</v>
      </c>
      <c r="J15" s="4">
        <f t="shared" si="2"/>
        <v>-0.18999999999999995</v>
      </c>
      <c r="K15" s="5">
        <f t="shared" si="0"/>
        <v>-1.3268156424581002E-2</v>
      </c>
    </row>
    <row r="16" spans="3:11" x14ac:dyDescent="0.3">
      <c r="C16">
        <v>18181</v>
      </c>
      <c r="D16" t="s">
        <v>6</v>
      </c>
      <c r="E16" s="3">
        <v>7</v>
      </c>
      <c r="F16" s="4">
        <v>4.42</v>
      </c>
      <c r="G16" s="4">
        <v>4.99</v>
      </c>
      <c r="H16" s="4">
        <f t="shared" si="1"/>
        <v>30.939999999999998</v>
      </c>
      <c r="I16">
        <v>0.38</v>
      </c>
      <c r="J16" s="4">
        <f t="shared" si="2"/>
        <v>-2.33</v>
      </c>
      <c r="K16" s="5">
        <f t="shared" si="0"/>
        <v>-7.5307045895281199E-2</v>
      </c>
    </row>
    <row r="17" spans="3:11" x14ac:dyDescent="0.3">
      <c r="C17">
        <v>20925</v>
      </c>
      <c r="D17" t="s">
        <v>7</v>
      </c>
      <c r="E17" s="3">
        <v>10</v>
      </c>
      <c r="F17" s="4">
        <v>35.94</v>
      </c>
      <c r="G17" s="4">
        <v>6.66</v>
      </c>
      <c r="H17" s="4">
        <f t="shared" si="1"/>
        <v>359.4</v>
      </c>
      <c r="I17">
        <v>0.4</v>
      </c>
      <c r="J17" s="4">
        <f t="shared" si="2"/>
        <v>-2.66</v>
      </c>
      <c r="K17" s="5">
        <f t="shared" si="0"/>
        <v>-7.4012242626599898E-3</v>
      </c>
    </row>
    <row r="18" spans="3:11" x14ac:dyDescent="0.3">
      <c r="C18">
        <v>26267</v>
      </c>
      <c r="D18" t="s">
        <v>4</v>
      </c>
      <c r="E18" s="3">
        <v>6</v>
      </c>
      <c r="F18" s="4">
        <v>2.98</v>
      </c>
      <c r="G18" s="4">
        <v>1.58</v>
      </c>
      <c r="H18" s="4">
        <f t="shared" si="1"/>
        <v>17.88</v>
      </c>
      <c r="I18">
        <v>0.39</v>
      </c>
      <c r="J18" s="4">
        <f t="shared" si="2"/>
        <v>0.75999999999999979</v>
      </c>
      <c r="K18" s="5">
        <f t="shared" si="0"/>
        <v>4.25055928411633E-2</v>
      </c>
    </row>
    <row r="19" spans="3:11" x14ac:dyDescent="0.3">
      <c r="C19">
        <v>26268</v>
      </c>
      <c r="D19" t="s">
        <v>4</v>
      </c>
      <c r="E19" s="3">
        <v>10</v>
      </c>
      <c r="F19" s="4">
        <v>115.99</v>
      </c>
      <c r="G19" s="4">
        <v>2.5</v>
      </c>
      <c r="H19" s="4">
        <f t="shared" si="1"/>
        <v>1159.8999999999999</v>
      </c>
      <c r="I19">
        <v>0.55000000000000004</v>
      </c>
      <c r="J19" s="4">
        <f t="shared" si="2"/>
        <v>3</v>
      </c>
      <c r="K19" s="5">
        <f t="shared" si="0"/>
        <v>2.5864298646435043E-3</v>
      </c>
    </row>
    <row r="20" spans="3:11" x14ac:dyDescent="0.3">
      <c r="C20">
        <v>23890</v>
      </c>
      <c r="D20" t="s">
        <v>4</v>
      </c>
      <c r="E20" s="3">
        <v>17</v>
      </c>
      <c r="F20" s="4">
        <v>26.48</v>
      </c>
      <c r="G20" s="4">
        <v>6.93</v>
      </c>
      <c r="H20" s="4">
        <f t="shared" si="1"/>
        <v>450.16</v>
      </c>
      <c r="I20">
        <v>0.49</v>
      </c>
      <c r="J20" s="4">
        <f t="shared" si="2"/>
        <v>1.4000000000000004</v>
      </c>
      <c r="K20" s="5">
        <f t="shared" si="0"/>
        <v>3.1100053314377118E-3</v>
      </c>
    </row>
    <row r="21" spans="3:11" x14ac:dyDescent="0.3">
      <c r="C21">
        <v>24063</v>
      </c>
      <c r="D21" t="s">
        <v>5</v>
      </c>
      <c r="E21" s="3">
        <v>18</v>
      </c>
      <c r="F21" s="4">
        <v>12.99</v>
      </c>
      <c r="G21" s="4">
        <v>9.44</v>
      </c>
      <c r="H21" s="4">
        <f t="shared" si="1"/>
        <v>233.82</v>
      </c>
      <c r="I21">
        <v>0.39</v>
      </c>
      <c r="J21" s="4">
        <f t="shared" si="2"/>
        <v>-2.419999999999999</v>
      </c>
      <c r="K21" s="5">
        <f t="shared" si="0"/>
        <v>-1.0349841758617737E-2</v>
      </c>
    </row>
    <row r="22" spans="3:11" x14ac:dyDescent="0.3">
      <c r="C22">
        <v>5890</v>
      </c>
      <c r="D22" t="s">
        <v>4</v>
      </c>
      <c r="E22" s="3">
        <v>70</v>
      </c>
      <c r="F22" s="4">
        <v>26.48</v>
      </c>
      <c r="G22" s="4">
        <v>6.93</v>
      </c>
      <c r="H22" s="4">
        <f t="shared" si="1"/>
        <v>1853.6000000000001</v>
      </c>
      <c r="I22">
        <v>0.49</v>
      </c>
      <c r="J22" s="4">
        <f t="shared" si="2"/>
        <v>27.369999999999997</v>
      </c>
      <c r="K22" s="5">
        <f t="shared" si="0"/>
        <v>1.476586102719033E-2</v>
      </c>
    </row>
    <row r="23" spans="3:11" x14ac:dyDescent="0.3">
      <c r="C23">
        <v>6062</v>
      </c>
      <c r="D23" t="s">
        <v>5</v>
      </c>
      <c r="E23" s="3">
        <v>58</v>
      </c>
      <c r="F23" s="4">
        <v>5</v>
      </c>
      <c r="G23" s="4">
        <v>3.39</v>
      </c>
      <c r="H23" s="4">
        <f t="shared" si="1"/>
        <v>290</v>
      </c>
      <c r="I23">
        <v>0.37</v>
      </c>
      <c r="J23" s="4">
        <f t="shared" si="2"/>
        <v>18.07</v>
      </c>
      <c r="K23" s="5">
        <f t="shared" si="0"/>
        <v>6.2310344827586205E-2</v>
      </c>
    </row>
    <row r="24" spans="3:11" x14ac:dyDescent="0.3">
      <c r="C24">
        <v>6063</v>
      </c>
      <c r="D24" t="s">
        <v>5</v>
      </c>
      <c r="E24" s="3">
        <v>71</v>
      </c>
      <c r="F24" s="4">
        <v>12.99</v>
      </c>
      <c r="G24" s="4">
        <v>9.44</v>
      </c>
      <c r="H24" s="4">
        <f t="shared" si="1"/>
        <v>922.29</v>
      </c>
      <c r="I24">
        <v>0.39</v>
      </c>
      <c r="J24" s="4">
        <f t="shared" si="2"/>
        <v>18.25</v>
      </c>
      <c r="K24" s="5">
        <f t="shared" si="0"/>
        <v>1.9787702349586357E-2</v>
      </c>
    </row>
    <row r="25" spans="3:11" x14ac:dyDescent="0.3">
      <c r="C25">
        <v>20631</v>
      </c>
      <c r="D25" t="s">
        <v>4</v>
      </c>
      <c r="E25" s="3">
        <v>1</v>
      </c>
      <c r="F25" s="4">
        <v>55.48</v>
      </c>
      <c r="G25" s="4">
        <v>14.3</v>
      </c>
      <c r="H25" s="4">
        <f t="shared" si="1"/>
        <v>55.48</v>
      </c>
      <c r="I25">
        <v>0.37</v>
      </c>
      <c r="J25" s="4">
        <f t="shared" si="2"/>
        <v>-13.930000000000001</v>
      </c>
      <c r="K25" s="5">
        <f t="shared" si="0"/>
        <v>-0.25108147080028842</v>
      </c>
    </row>
    <row r="26" spans="3:11" x14ac:dyDescent="0.3">
      <c r="C26">
        <v>20632</v>
      </c>
      <c r="D26" t="s">
        <v>4</v>
      </c>
      <c r="E26" s="3">
        <v>1</v>
      </c>
      <c r="F26" s="4">
        <v>1.68</v>
      </c>
      <c r="G26" s="4">
        <v>1.57</v>
      </c>
      <c r="H26" s="4">
        <f t="shared" si="1"/>
        <v>1.68</v>
      </c>
      <c r="I26">
        <v>0.59</v>
      </c>
      <c r="J26" s="4">
        <f t="shared" si="2"/>
        <v>-0.98000000000000009</v>
      </c>
      <c r="K26" s="5">
        <f t="shared" si="0"/>
        <v>-0.58333333333333337</v>
      </c>
    </row>
    <row r="27" spans="3:11" x14ac:dyDescent="0.3">
      <c r="C27">
        <v>23967</v>
      </c>
      <c r="D27" t="s">
        <v>5</v>
      </c>
      <c r="E27" s="3">
        <v>12</v>
      </c>
      <c r="F27" s="4">
        <v>4.1399999999999997</v>
      </c>
      <c r="G27" s="4">
        <v>6.6</v>
      </c>
      <c r="H27" s="4">
        <f t="shared" si="1"/>
        <v>49.679999999999993</v>
      </c>
      <c r="I27">
        <v>0.49</v>
      </c>
      <c r="J27" s="4">
        <f t="shared" si="2"/>
        <v>-0.71999999999999975</v>
      </c>
      <c r="K27" s="5">
        <f t="shared" si="0"/>
        <v>-1.4492753623188403E-2</v>
      </c>
    </row>
    <row r="28" spans="3:11" x14ac:dyDescent="0.3">
      <c r="C28">
        <v>23509</v>
      </c>
      <c r="D28" t="s">
        <v>4</v>
      </c>
      <c r="E28" s="3">
        <v>13</v>
      </c>
      <c r="F28" s="4">
        <v>34.99</v>
      </c>
      <c r="G28" s="4">
        <v>7.73</v>
      </c>
      <c r="H28" s="4">
        <f t="shared" si="1"/>
        <v>454.87</v>
      </c>
      <c r="I28">
        <v>0.59</v>
      </c>
      <c r="J28" s="4">
        <f t="shared" si="2"/>
        <v>-6.0000000000000497E-2</v>
      </c>
      <c r="K28" s="5">
        <f t="shared" si="0"/>
        <v>-1.3190581924506012E-4</v>
      </c>
    </row>
    <row r="29" spans="3:11" x14ac:dyDescent="0.3">
      <c r="C29">
        <v>23612</v>
      </c>
      <c r="D29" t="s">
        <v>4</v>
      </c>
      <c r="E29" s="3">
        <v>2</v>
      </c>
      <c r="F29" s="4">
        <v>17.98</v>
      </c>
      <c r="G29" s="4">
        <v>8.51</v>
      </c>
      <c r="H29" s="4">
        <f t="shared" si="1"/>
        <v>35.96</v>
      </c>
      <c r="I29">
        <v>0.4</v>
      </c>
      <c r="J29" s="4">
        <f t="shared" si="2"/>
        <v>-7.71</v>
      </c>
      <c r="K29" s="5">
        <f t="shared" si="0"/>
        <v>-0.21440489432703003</v>
      </c>
    </row>
    <row r="30" spans="3:11" x14ac:dyDescent="0.3">
      <c r="C30">
        <v>23278</v>
      </c>
      <c r="D30" t="s">
        <v>7</v>
      </c>
      <c r="E30" s="3">
        <v>8</v>
      </c>
      <c r="F30" s="4">
        <v>125.99</v>
      </c>
      <c r="G30" s="4">
        <v>7.69</v>
      </c>
      <c r="H30" s="4">
        <f t="shared" si="1"/>
        <v>1007.92</v>
      </c>
      <c r="I30">
        <v>0.59</v>
      </c>
      <c r="J30" s="4">
        <f t="shared" si="2"/>
        <v>-2.9700000000000006</v>
      </c>
      <c r="K30" s="5">
        <f t="shared" si="0"/>
        <v>-2.9466624335264713E-3</v>
      </c>
    </row>
    <row r="31" spans="3:11" x14ac:dyDescent="0.3">
      <c r="C31">
        <v>19355</v>
      </c>
      <c r="D31" t="s">
        <v>8</v>
      </c>
      <c r="E31" s="3">
        <v>22</v>
      </c>
      <c r="F31" s="4">
        <v>205.99</v>
      </c>
      <c r="G31" s="4">
        <v>8.99</v>
      </c>
      <c r="H31" s="4">
        <f t="shared" si="1"/>
        <v>4531.7800000000007</v>
      </c>
      <c r="I31">
        <v>0.56000000000000005</v>
      </c>
      <c r="J31" s="4">
        <f t="shared" si="2"/>
        <v>3.33</v>
      </c>
      <c r="K31" s="5">
        <f t="shared" si="0"/>
        <v>7.3481060422174059E-4</v>
      </c>
    </row>
    <row r="32" spans="3:11" x14ac:dyDescent="0.3">
      <c r="C32">
        <v>23654</v>
      </c>
      <c r="D32" t="s">
        <v>5</v>
      </c>
      <c r="E32" s="3">
        <v>13</v>
      </c>
      <c r="F32" s="4">
        <v>4.24</v>
      </c>
      <c r="G32" s="4">
        <v>5.41</v>
      </c>
      <c r="H32" s="4">
        <f t="shared" si="1"/>
        <v>55.120000000000005</v>
      </c>
      <c r="I32">
        <v>0.35</v>
      </c>
      <c r="J32" s="4">
        <f t="shared" si="2"/>
        <v>-0.86000000000000032</v>
      </c>
      <c r="K32" s="5">
        <f t="shared" si="0"/>
        <v>-1.5602322206095795E-2</v>
      </c>
    </row>
    <row r="33" spans="3:11" x14ac:dyDescent="0.3">
      <c r="C33">
        <v>23655</v>
      </c>
      <c r="D33" t="s">
        <v>5</v>
      </c>
      <c r="E33" s="3">
        <v>18</v>
      </c>
      <c r="F33" s="4">
        <v>2.94</v>
      </c>
      <c r="G33" s="4">
        <v>0.7</v>
      </c>
      <c r="H33" s="4">
        <f t="shared" si="1"/>
        <v>52.92</v>
      </c>
      <c r="I33">
        <v>0.57999999999999996</v>
      </c>
      <c r="J33" s="4">
        <f t="shared" si="2"/>
        <v>9.74</v>
      </c>
      <c r="K33" s="5">
        <f t="shared" si="0"/>
        <v>0.18405139833711262</v>
      </c>
    </row>
    <row r="34" spans="3:11" x14ac:dyDescent="0.3">
      <c r="C34">
        <v>25933</v>
      </c>
      <c r="D34" t="s">
        <v>4</v>
      </c>
      <c r="E34" s="3">
        <v>6</v>
      </c>
      <c r="F34" s="4">
        <v>99.99</v>
      </c>
      <c r="G34" s="4">
        <v>19.989999999999998</v>
      </c>
      <c r="H34" s="4">
        <f t="shared" si="1"/>
        <v>599.93999999999994</v>
      </c>
      <c r="I34">
        <v>0.52</v>
      </c>
      <c r="J34" s="4">
        <f t="shared" si="2"/>
        <v>-16.869999999999997</v>
      </c>
      <c r="K34" s="5">
        <f t="shared" si="0"/>
        <v>-2.8119478614528119E-2</v>
      </c>
    </row>
    <row r="35" spans="3:11" x14ac:dyDescent="0.3">
      <c r="C35">
        <v>20697</v>
      </c>
      <c r="D35" t="s">
        <v>7</v>
      </c>
      <c r="E35" s="3">
        <v>6</v>
      </c>
      <c r="F35" s="4">
        <v>115.99</v>
      </c>
      <c r="G35" s="4">
        <v>2.5</v>
      </c>
      <c r="H35" s="4">
        <f t="shared" si="1"/>
        <v>695.93999999999994</v>
      </c>
      <c r="I35">
        <v>0.56999999999999995</v>
      </c>
      <c r="J35" s="4">
        <f t="shared" si="2"/>
        <v>0.91999999999999993</v>
      </c>
      <c r="K35" s="5">
        <f t="shared" si="0"/>
        <v>1.321953041928902E-3</v>
      </c>
    </row>
    <row r="36" spans="3:11" x14ac:dyDescent="0.3">
      <c r="C36">
        <v>20698</v>
      </c>
      <c r="D36" t="s">
        <v>7</v>
      </c>
      <c r="E36" s="3">
        <v>1</v>
      </c>
      <c r="F36" s="4">
        <v>3502.14</v>
      </c>
      <c r="G36" s="4">
        <v>8.73</v>
      </c>
      <c r="H36" s="4">
        <f t="shared" si="1"/>
        <v>3502.14</v>
      </c>
      <c r="I36">
        <v>0.56999999999999995</v>
      </c>
      <c r="J36" s="4">
        <f t="shared" si="2"/>
        <v>-8.16</v>
      </c>
      <c r="K36" s="5">
        <f t="shared" si="0"/>
        <v>-2.3300039404478405E-3</v>
      </c>
    </row>
    <row r="37" spans="3:11" x14ac:dyDescent="0.3">
      <c r="C37">
        <v>22890</v>
      </c>
      <c r="D37" t="s">
        <v>4</v>
      </c>
      <c r="E37" s="3">
        <v>17</v>
      </c>
      <c r="F37" s="4">
        <v>175.99</v>
      </c>
      <c r="G37" s="4">
        <v>5.79</v>
      </c>
      <c r="H37" s="4">
        <f t="shared" si="1"/>
        <v>2991.83</v>
      </c>
      <c r="I37">
        <v>0.36</v>
      </c>
      <c r="J37" s="4">
        <f t="shared" si="2"/>
        <v>0.33000000000000007</v>
      </c>
      <c r="K37" s="5">
        <f t="shared" si="0"/>
        <v>1.1030038471437217E-4</v>
      </c>
    </row>
    <row r="38" spans="3:11" x14ac:dyDescent="0.3">
      <c r="C38">
        <v>25354</v>
      </c>
      <c r="D38" t="s">
        <v>4</v>
      </c>
      <c r="E38" s="3">
        <v>20</v>
      </c>
      <c r="F38" s="4">
        <v>155.06</v>
      </c>
      <c r="G38" s="4">
        <v>1.49</v>
      </c>
      <c r="H38" s="4">
        <f t="shared" si="1"/>
        <v>3101.2</v>
      </c>
      <c r="I38">
        <v>0.38</v>
      </c>
      <c r="J38" s="4">
        <f t="shared" si="2"/>
        <v>6.1099999999999994</v>
      </c>
      <c r="K38" s="5">
        <f t="shared" si="0"/>
        <v>1.9702050819037789E-3</v>
      </c>
    </row>
    <row r="39" spans="3:11" x14ac:dyDescent="0.3">
      <c r="C39">
        <v>21017</v>
      </c>
      <c r="D39" t="s">
        <v>5</v>
      </c>
      <c r="E39" s="3">
        <v>17</v>
      </c>
      <c r="F39" s="4">
        <v>5.98</v>
      </c>
      <c r="G39" s="4">
        <v>0.7</v>
      </c>
      <c r="H39" s="4">
        <f t="shared" si="1"/>
        <v>101.66000000000001</v>
      </c>
      <c r="I39">
        <v>0.56000000000000005</v>
      </c>
      <c r="J39" s="4">
        <f t="shared" si="2"/>
        <v>8.8200000000000021</v>
      </c>
      <c r="K39" s="5">
        <f t="shared" si="0"/>
        <v>8.6759787527050963E-2</v>
      </c>
    </row>
    <row r="40" spans="3:11" x14ac:dyDescent="0.3">
      <c r="C40">
        <v>21019</v>
      </c>
      <c r="D40" t="s">
        <v>5</v>
      </c>
      <c r="E40" s="3">
        <v>3</v>
      </c>
      <c r="F40" s="4">
        <v>29.14</v>
      </c>
      <c r="G40" s="4">
        <v>5.15</v>
      </c>
      <c r="H40" s="4">
        <f t="shared" si="1"/>
        <v>87.42</v>
      </c>
      <c r="I40">
        <v>0.36</v>
      </c>
      <c r="J40" s="4">
        <f t="shared" si="2"/>
        <v>-4.07</v>
      </c>
      <c r="K40" s="5">
        <f t="shared" si="0"/>
        <v>-4.6556851978952186E-2</v>
      </c>
    </row>
    <row r="41" spans="3:11" x14ac:dyDescent="0.3">
      <c r="C41">
        <v>23274</v>
      </c>
      <c r="D41" t="s">
        <v>8</v>
      </c>
      <c r="E41" s="3">
        <v>17</v>
      </c>
      <c r="F41" s="4">
        <v>3.69</v>
      </c>
      <c r="G41" s="4">
        <v>4.8600000000000003</v>
      </c>
      <c r="H41" s="4">
        <f t="shared" si="1"/>
        <v>62.73</v>
      </c>
      <c r="I41">
        <v>0.38</v>
      </c>
      <c r="J41" s="4">
        <f t="shared" si="2"/>
        <v>1.5999999999999996</v>
      </c>
      <c r="K41" s="5">
        <f t="shared" si="0"/>
        <v>2.5506137414315316E-2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KARANAM VARENYA</cp:lastModifiedBy>
  <dcterms:created xsi:type="dcterms:W3CDTF">2015-06-05T18:17:20Z</dcterms:created>
  <dcterms:modified xsi:type="dcterms:W3CDTF">2026-01-28T09:30:15Z</dcterms:modified>
</cp:coreProperties>
</file>