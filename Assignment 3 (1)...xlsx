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en\Downloads\"/>
    </mc:Choice>
  </mc:AlternateContent>
  <xr:revisionPtr revIDLastSave="0" documentId="8_{69A8FB13-C644-4FE6-8CF8-BDFEB98CC15E}" xr6:coauthVersionLast="47" xr6:coauthVersionMax="47" xr10:uidLastSave="{00000000-0000-0000-0000-000000000000}"/>
  <bookViews>
    <workbookView xWindow="-108" yWindow="-108" windowWidth="23256" windowHeight="12456" activeTab="2" xr2:uid="{A73E8477-6928-4E1A-B4C8-86936FD084D2}"/>
  </bookViews>
  <sheets>
    <sheet name="Text functions" sheetId="4" r:id="rId1"/>
    <sheet name="Date" sheetId="5" r:id="rId2"/>
    <sheet name="DataValidation" sheetId="6" r:id="rId3"/>
  </sheets>
  <definedNames>
    <definedName name="East">DataValidation!$I$6:$I$11</definedName>
    <definedName name="north">DataValidation!$K$6:$K$11</definedName>
    <definedName name="Regiondetails">DataValidation!$I$5:$L$11</definedName>
    <definedName name="south">DataValidation!$L$6:$L$11</definedName>
    <definedName name="west">DataValidation!$J$6:$J$11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5" l="1"/>
  <c r="I8" i="5"/>
  <c r="I9" i="5"/>
  <c r="I10" i="5"/>
  <c r="I11" i="5"/>
  <c r="I12" i="5"/>
  <c r="I13" i="5"/>
  <c r="I14" i="5"/>
  <c r="I15" i="5"/>
  <c r="I16" i="5"/>
  <c r="I17" i="5"/>
  <c r="I18" i="5"/>
  <c r="I7" i="5"/>
  <c r="C26" i="5"/>
  <c r="C27" i="5"/>
  <c r="C28" i="5"/>
  <c r="C29" i="5"/>
  <c r="C30" i="5"/>
  <c r="C31" i="5"/>
  <c r="C32" i="5"/>
  <c r="C33" i="5"/>
  <c r="C25" i="5"/>
  <c r="G3" i="5"/>
  <c r="C3" i="5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7" i="4"/>
  <c r="H8" i="5"/>
  <c r="H9" i="5"/>
  <c r="H10" i="5"/>
  <c r="H11" i="5"/>
  <c r="H12" i="5"/>
  <c r="H13" i="5"/>
  <c r="H14" i="5"/>
  <c r="H15" i="5"/>
  <c r="H16" i="5"/>
  <c r="H17" i="5"/>
  <c r="H18" i="5"/>
  <c r="H7" i="5"/>
  <c r="G8" i="5"/>
  <c r="G9" i="5"/>
  <c r="G10" i="5"/>
  <c r="G11" i="5"/>
  <c r="G12" i="5"/>
  <c r="G13" i="5"/>
  <c r="G14" i="5"/>
  <c r="G15" i="5"/>
  <c r="G16" i="5"/>
  <c r="G17" i="5"/>
  <c r="G18" i="5"/>
  <c r="G7" i="5"/>
  <c r="F8" i="5"/>
  <c r="F9" i="5"/>
  <c r="F10" i="5"/>
  <c r="F11" i="5"/>
  <c r="F12" i="5"/>
  <c r="F13" i="5"/>
  <c r="F14" i="5"/>
  <c r="F15" i="5"/>
  <c r="F16" i="5"/>
  <c r="F17" i="5"/>
  <c r="F18" i="5"/>
  <c r="F7" i="5"/>
  <c r="E8" i="5"/>
  <c r="E9" i="5"/>
  <c r="E10" i="5"/>
  <c r="E11" i="5"/>
  <c r="E12" i="5"/>
  <c r="E13" i="5"/>
  <c r="E14" i="5"/>
  <c r="E15" i="5"/>
  <c r="E16" i="5"/>
  <c r="E17" i="5"/>
  <c r="E18" i="5"/>
  <c r="E7" i="5"/>
  <c r="D8" i="5"/>
  <c r="D9" i="5"/>
  <c r="D10" i="5"/>
  <c r="D11" i="5"/>
  <c r="D12" i="5"/>
  <c r="D13" i="5"/>
  <c r="D14" i="5"/>
  <c r="D15" i="5"/>
  <c r="D16" i="5"/>
  <c r="D17" i="5"/>
  <c r="D18" i="5"/>
  <c r="D7" i="5"/>
</calcChain>
</file>

<file path=xl/sharedStrings.xml><?xml version="1.0" encoding="utf-8"?>
<sst xmlns="http://schemas.openxmlformats.org/spreadsheetml/2006/main" count="298" uniqueCount="128">
  <si>
    <t>Full Name</t>
  </si>
  <si>
    <t>South</t>
  </si>
  <si>
    <t>Finance</t>
  </si>
  <si>
    <t>Married</t>
  </si>
  <si>
    <t>Male</t>
  </si>
  <si>
    <t>Prem Pherwani</t>
  </si>
  <si>
    <t>East</t>
  </si>
  <si>
    <t>Marketing</t>
  </si>
  <si>
    <t>Female</t>
  </si>
  <si>
    <t>Venitha Shetty</t>
  </si>
  <si>
    <t>Director</t>
  </si>
  <si>
    <t>Shankar Shetty</t>
  </si>
  <si>
    <t>Operations</t>
  </si>
  <si>
    <t>Nitin Patki</t>
  </si>
  <si>
    <t>CCD</t>
  </si>
  <si>
    <t>Sharadchandra Riswadkar</t>
  </si>
  <si>
    <t>Praful Savla</t>
  </si>
  <si>
    <t>Inside Sales</t>
  </si>
  <si>
    <t>D Kulkarni</t>
  </si>
  <si>
    <t>Digital Marketing</t>
  </si>
  <si>
    <t>Piyush Kamdar</t>
  </si>
  <si>
    <t>Mid West</t>
  </si>
  <si>
    <t>Learning &amp; Development</t>
  </si>
  <si>
    <t>Dattatray Desai</t>
  </si>
  <si>
    <t>Jitendra Thacker</t>
  </si>
  <si>
    <t>Sales</t>
  </si>
  <si>
    <t>Kawdoor Shetty</t>
  </si>
  <si>
    <t>Satish Pasari</t>
  </si>
  <si>
    <t>Jagjit Kahlon</t>
  </si>
  <si>
    <t>Raju Manek</t>
  </si>
  <si>
    <t>Vishnu Desai</t>
  </si>
  <si>
    <t>Ashok Samtaney</t>
  </si>
  <si>
    <t>Dhiren Sheth</t>
  </si>
  <si>
    <t>Simon Rodrigues</t>
  </si>
  <si>
    <t>CEO</t>
  </si>
  <si>
    <t>Ruffina Joshi</t>
  </si>
  <si>
    <t>North</t>
  </si>
  <si>
    <t>FLM</t>
  </si>
  <si>
    <t>Ram Ambradkar</t>
  </si>
  <si>
    <t>Single</t>
  </si>
  <si>
    <t>Yogesh Mansharamani</t>
  </si>
  <si>
    <t>Dinesh Dhanuka</t>
  </si>
  <si>
    <t>Yashraj Vaidya</t>
  </si>
  <si>
    <t>Sudesh Pillai</t>
  </si>
  <si>
    <t>Gururaj Joshi</t>
  </si>
  <si>
    <t>Rajeev Singh</t>
  </si>
  <si>
    <t>Boneca Rego</t>
  </si>
  <si>
    <t>Sachin Bangera</t>
  </si>
  <si>
    <t>Tulsidas Shetty</t>
  </si>
  <si>
    <t>Rajeesh C</t>
  </si>
  <si>
    <t>Stan Serrao</t>
  </si>
  <si>
    <t>Bobby Tanna</t>
  </si>
  <si>
    <t>Heena Dongre</t>
  </si>
  <si>
    <t>Rajesh Dedhia</t>
  </si>
  <si>
    <t>Dhiren Haria</t>
  </si>
  <si>
    <t>Rajesh Bohra</t>
  </si>
  <si>
    <t>Piyush Shah</t>
  </si>
  <si>
    <t>Melwyn Crasto</t>
  </si>
  <si>
    <t>Employee ID</t>
  </si>
  <si>
    <t>Basic Salary</t>
  </si>
  <si>
    <t>Region</t>
  </si>
  <si>
    <t>Department</t>
  </si>
  <si>
    <t>M_Status</t>
  </si>
  <si>
    <t>Gender</t>
  </si>
  <si>
    <t>Hiring date</t>
  </si>
  <si>
    <t>S.No</t>
  </si>
  <si>
    <t>FN</t>
  </si>
  <si>
    <t>LN</t>
  </si>
  <si>
    <t>Separate First Name and Last Name for the below list .</t>
  </si>
  <si>
    <t>Current Date</t>
  </si>
  <si>
    <t>Last Modified Date</t>
  </si>
  <si>
    <t>Current Time</t>
  </si>
  <si>
    <t>Last Modified Time</t>
  </si>
  <si>
    <t>Name</t>
  </si>
  <si>
    <t>Birthdate</t>
  </si>
  <si>
    <t>Day</t>
  </si>
  <si>
    <t>Month(in number)</t>
  </si>
  <si>
    <t>Month(in text)</t>
  </si>
  <si>
    <t>Year</t>
  </si>
  <si>
    <t>Age(in years)</t>
  </si>
  <si>
    <t>Exact Age with Years,Month,days</t>
  </si>
  <si>
    <t>Q. Convert the date from first format to the second format and sort in ascending order.</t>
  </si>
  <si>
    <t>Date (yyyymmdd.000)</t>
  </si>
  <si>
    <t>Date (mm/dd/yyyy)</t>
  </si>
  <si>
    <t>VALIDATION SHEET</t>
  </si>
  <si>
    <t>Region Details</t>
  </si>
  <si>
    <t>Emp_Code</t>
  </si>
  <si>
    <t>Salary</t>
  </si>
  <si>
    <t>UserID</t>
  </si>
  <si>
    <t>Area</t>
  </si>
  <si>
    <t>West</t>
  </si>
  <si>
    <t>Kurla</t>
  </si>
  <si>
    <t>Andheri</t>
  </si>
  <si>
    <t>Virar</t>
  </si>
  <si>
    <t>Churchgate</t>
  </si>
  <si>
    <t>Ghatkopar</t>
  </si>
  <si>
    <t>Santacruz</t>
  </si>
  <si>
    <t>Bhyander</t>
  </si>
  <si>
    <t>Nariman point</t>
  </si>
  <si>
    <t>Vashi</t>
  </si>
  <si>
    <t>Vileparle</t>
  </si>
  <si>
    <t>Mira Road</t>
  </si>
  <si>
    <t>Colaba</t>
  </si>
  <si>
    <t>Thane</t>
  </si>
  <si>
    <t>Khar</t>
  </si>
  <si>
    <t>Vasai</t>
  </si>
  <si>
    <t>Kalbadevi</t>
  </si>
  <si>
    <t>Mulund</t>
  </si>
  <si>
    <t>Bandra</t>
  </si>
  <si>
    <t>Nallasopara</t>
  </si>
  <si>
    <t>Masjid Bunder</t>
  </si>
  <si>
    <t>Chembur</t>
  </si>
  <si>
    <t>Gogeshwari</t>
  </si>
  <si>
    <t>Naigaon</t>
  </si>
  <si>
    <t>Dockyard</t>
  </si>
  <si>
    <t>Indirect()-Area</t>
  </si>
  <si>
    <t>1.Give validation to Emp_code so that the user can enter only between 1 to 1000 without decimal</t>
  </si>
  <si>
    <t>2.Give validation to Birthdate so that the date after 2002 should not be accepted</t>
  </si>
  <si>
    <t>3.Give validation to Salary so that the salary is between 25000-85000</t>
  </si>
  <si>
    <t>4.Give validation to User_Id so that the userid is minimum 5 character long</t>
  </si>
  <si>
    <t>5.Give validation to Region so that the user will select the region from list</t>
  </si>
  <si>
    <t>6.Depending upon the region selected the user will get the respective Area</t>
  </si>
  <si>
    <t>Create Employee ID: initials of Name+first 2 letters of Department name+region initial+S.No       (ALL IN UPPER CASE). Example: MCMAN01</t>
  </si>
  <si>
    <t>Consider yourself as a manager you need to send this sheet to employees 
to gather data.For proper data collection validate the columns</t>
  </si>
  <si>
    <t>varenya</t>
  </si>
  <si>
    <t>Vyshu</t>
  </si>
  <si>
    <t>likhitha</t>
  </si>
  <si>
    <t>sravani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</si>
</sst>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[$-409]dd\-mmm\-yy;@"/>
    <numFmt numFmtId="166" formatCode="[$-F400]h:mm:ss\ AM/PM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4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" fillId="0" borderId="1" xfId="0" applyFont="1" applyBorder="1"/>
    <xf numFmtId="0" fontId="3" fillId="0" borderId="0" xfId="0" applyFont="1"/>
    <xf numFmtId="0" fontId="2" fillId="0" borderId="0" xfId="0" applyFont="1"/>
    <xf numFmtId="0" fontId="0" fillId="2" borderId="1" xfId="0" quotePrefix="1" applyFill="1" applyBorder="1"/>
    <xf numFmtId="0" fontId="1" fillId="3" borderId="1" xfId="0" applyFont="1" applyFill="1" applyBorder="1"/>
    <xf numFmtId="0" fontId="0" fillId="4" borderId="1" xfId="0" applyFill="1" applyBorder="1"/>
    <xf numFmtId="0" fontId="4" fillId="0" borderId="0" xfId="0" applyFont="1"/>
    <xf numFmtId="0" fontId="5" fillId="5" borderId="1" xfId="0" applyFont="1" applyFill="1" applyBorder="1"/>
    <xf numFmtId="49" fontId="0" fillId="6" borderId="2" xfId="0" applyNumberFormat="1" applyFill="1" applyBorder="1" applyAlignment="1">
      <alignment horizontal="right"/>
    </xf>
    <xf numFmtId="164" fontId="0" fillId="7" borderId="3" xfId="0" applyNumberFormat="1" applyFill="1" applyBorder="1"/>
    <xf numFmtId="0" fontId="0" fillId="6" borderId="4" xfId="0" applyFill="1" applyBorder="1" applyAlignment="1">
      <alignment horizontal="right"/>
    </xf>
    <xf numFmtId="0" fontId="0" fillId="6" borderId="5" xfId="0" applyFill="1" applyBorder="1" applyAlignment="1">
      <alignment horizontal="right"/>
    </xf>
    <xf numFmtId="0" fontId="6" fillId="0" borderId="0" xfId="1"/>
    <xf numFmtId="0" fontId="8" fillId="9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14" fontId="0" fillId="0" borderId="1" xfId="0" applyNumberFormat="1" applyBorder="1"/>
    <xf numFmtId="0" fontId="10" fillId="0" borderId="2" xfId="1" applyFont="1" applyBorder="1"/>
    <xf numFmtId="0" fontId="10" fillId="0" borderId="6" xfId="1" applyFont="1" applyBorder="1"/>
    <xf numFmtId="0" fontId="10" fillId="0" borderId="4" xfId="1" applyFont="1" applyBorder="1"/>
    <xf numFmtId="0" fontId="10" fillId="0" borderId="3" xfId="1" applyFont="1" applyBorder="1"/>
    <xf numFmtId="0" fontId="10" fillId="0" borderId="5" xfId="1" applyFont="1" applyBorder="1"/>
    <xf numFmtId="0" fontId="10" fillId="0" borderId="7" xfId="1" applyFont="1" applyBorder="1"/>
    <xf numFmtId="165" fontId="6" fillId="0" borderId="0" xfId="1" applyNumberFormat="1"/>
    <xf numFmtId="0" fontId="11" fillId="0" borderId="0" xfId="1" applyFont="1" applyAlignment="1">
      <alignment wrapText="1"/>
    </xf>
    <xf numFmtId="15" fontId="0" fillId="4" borderId="1" xfId="0" applyNumberFormat="1" applyFill="1" applyBorder="1"/>
    <xf numFmtId="14" fontId="0" fillId="4" borderId="1" xfId="0" applyNumberFormat="1" applyFill="1" applyBorder="1"/>
    <xf numFmtId="166" fontId="0" fillId="0" borderId="0" xfId="0" applyNumberFormat="1"/>
    <xf numFmtId="166" fontId="0" fillId="4" borderId="1" xfId="0" applyNumberFormat="1" applyFill="1" applyBorder="1"/>
    <xf numFmtId="0" fontId="7" fillId="8" borderId="1" xfId="1" applyFont="1" applyFill="1" applyBorder="1" applyAlignment="1">
      <alignment horizontal="center"/>
    </xf>
  </cellXfs>
  <cellStyles count="2">
    <cellStyle name="Normal" xfId="0" builtinId="0"/>
    <cellStyle name="Normal 2" xfId="1" xr:uid="{80F5BD94-D83D-450C-846D-9F16B90606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D121-C597-46B3-B142-AA364ED0DE4A}">
  <dimension ref="C2:M44"/>
  <sheetViews>
    <sheetView topLeftCell="A34" zoomScale="96" workbookViewId="0">
      <selection activeCell="M7" sqref="M7"/>
    </sheetView>
  </sheetViews>
  <sheetFormatPr defaultRowHeight="14.4" x14ac:dyDescent="0.3"/>
  <cols>
    <col min="4" max="4" width="19.5546875" customWidth="1"/>
    <col min="5" max="5" width="13.6640625" bestFit="1" customWidth="1"/>
    <col min="6" max="6" width="13.5546875" bestFit="1" customWidth="1"/>
    <col min="7" max="7" width="13.33203125" bestFit="1" customWidth="1"/>
    <col min="8" max="9" width="13.33203125" customWidth="1"/>
    <col min="10" max="10" width="17.44140625" customWidth="1"/>
    <col min="11" max="11" width="8.33203125" customWidth="1"/>
    <col min="12" max="12" width="10.6640625" bestFit="1" customWidth="1"/>
    <col min="13" max="14" width="11.5546875" bestFit="1" customWidth="1"/>
    <col min="15" max="15" width="10.6640625" bestFit="1" customWidth="1"/>
  </cols>
  <sheetData>
    <row r="2" spans="3:13" ht="18" x14ac:dyDescent="0.35">
      <c r="C2" s="6">
        <v>1</v>
      </c>
      <c r="D2" s="6" t="s">
        <v>68</v>
      </c>
      <c r="E2" s="6"/>
      <c r="F2" s="6"/>
      <c r="G2" s="7"/>
      <c r="H2" s="7"/>
      <c r="I2" s="7"/>
    </row>
    <row r="3" spans="3:13" x14ac:dyDescent="0.3">
      <c r="C3" s="6">
        <v>2</v>
      </c>
      <c r="D3" s="6" t="s">
        <v>122</v>
      </c>
      <c r="E3" s="6"/>
      <c r="F3" s="6"/>
    </row>
    <row r="4" spans="3:13" x14ac:dyDescent="0.3">
      <c r="C4" s="6"/>
      <c r="D4" s="6"/>
      <c r="E4" s="6"/>
      <c r="F4" s="6"/>
    </row>
    <row r="6" spans="3:13" x14ac:dyDescent="0.3">
      <c r="C6" s="5" t="s">
        <v>65</v>
      </c>
      <c r="D6" s="5" t="s">
        <v>0</v>
      </c>
      <c r="E6" s="5" t="s">
        <v>66</v>
      </c>
      <c r="F6" s="5" t="s">
        <v>67</v>
      </c>
      <c r="G6" s="5" t="s">
        <v>64</v>
      </c>
      <c r="H6" s="5" t="s">
        <v>63</v>
      </c>
      <c r="I6" s="5" t="s">
        <v>62</v>
      </c>
      <c r="J6" s="5" t="s">
        <v>61</v>
      </c>
      <c r="K6" s="5" t="s">
        <v>60</v>
      </c>
      <c r="L6" s="5" t="s">
        <v>59</v>
      </c>
      <c r="M6" s="5" t="s">
        <v>58</v>
      </c>
    </row>
    <row r="7" spans="3:13" x14ac:dyDescent="0.3">
      <c r="C7" s="3">
        <v>1</v>
      </c>
      <c r="D7" s="2" t="s">
        <v>57</v>
      </c>
      <c r="E7" s="8" t="str">
        <f>LEFT(D7,(FIND(" ",D7)))</f>
        <v xml:space="preserve">Melwyn </v>
      </c>
      <c r="F7" s="8" t="str">
        <f>RIGHT(D7,LEN(D7) - FIND(" ",D7))</f>
        <v>Crasto</v>
      </c>
      <c r="G7" s="4">
        <v>26123</v>
      </c>
      <c r="H7" s="3" t="s">
        <v>4</v>
      </c>
      <c r="I7" s="2" t="s">
        <v>3</v>
      </c>
      <c r="J7" s="2" t="s">
        <v>7</v>
      </c>
      <c r="K7" s="2" t="s">
        <v>36</v>
      </c>
      <c r="L7" s="1">
        <v>22000</v>
      </c>
      <c r="M7" s="8" t="str">
        <f>UPPER(LEFT(E7,1)&amp;LEFT(F7,1)&amp;LEFT(J7,2)&amp;LEFT(K7,1)&amp;C7)</f>
        <v>MCMAN1</v>
      </c>
    </row>
    <row r="8" spans="3:13" x14ac:dyDescent="0.3">
      <c r="C8" s="3">
        <v>2</v>
      </c>
      <c r="D8" s="2" t="s">
        <v>56</v>
      </c>
      <c r="E8" s="8" t="str">
        <f t="shared" ref="E8:E44" si="0">LEFT(D8,(FIND(" ",D8)))</f>
        <v xml:space="preserve">Piyush </v>
      </c>
      <c r="F8" s="8" t="str">
        <f t="shared" ref="F8:F44" si="1">RIGHT(D8,LEN(D8) - FIND(" ",D8))</f>
        <v>Shah</v>
      </c>
      <c r="G8" s="4">
        <v>28136</v>
      </c>
      <c r="H8" s="3" t="s">
        <v>8</v>
      </c>
      <c r="I8" s="2" t="s">
        <v>3</v>
      </c>
      <c r="J8" s="2" t="s">
        <v>17</v>
      </c>
      <c r="K8" s="2" t="s">
        <v>6</v>
      </c>
      <c r="L8" s="1">
        <v>20000</v>
      </c>
      <c r="M8" s="8" t="str">
        <f t="shared" ref="M8:M44" si="2">UPPER(LEFT(E8,1)&amp;LEFT(F8,1)&amp;LEFT(J8,2)&amp;LEFT(K8,1)&amp;C8)</f>
        <v>PSINE2</v>
      </c>
    </row>
    <row r="9" spans="3:13" x14ac:dyDescent="0.3">
      <c r="C9" s="3">
        <v>3</v>
      </c>
      <c r="D9" s="2" t="s">
        <v>55</v>
      </c>
      <c r="E9" s="8" t="str">
        <f t="shared" si="0"/>
        <v xml:space="preserve">Rajesh </v>
      </c>
      <c r="F9" s="8" t="str">
        <f t="shared" si="1"/>
        <v>Bohra</v>
      </c>
      <c r="G9" s="4">
        <v>28346</v>
      </c>
      <c r="H9" s="3" t="s">
        <v>8</v>
      </c>
      <c r="I9" s="2" t="s">
        <v>3</v>
      </c>
      <c r="J9" s="2" t="s">
        <v>19</v>
      </c>
      <c r="K9" s="2" t="s">
        <v>36</v>
      </c>
      <c r="L9" s="1">
        <v>67000</v>
      </c>
      <c r="M9" s="8" t="str">
        <f t="shared" si="2"/>
        <v>RBDIN3</v>
      </c>
    </row>
    <row r="10" spans="3:13" x14ac:dyDescent="0.3">
      <c r="C10" s="3">
        <v>4</v>
      </c>
      <c r="D10" s="2" t="s">
        <v>54</v>
      </c>
      <c r="E10" s="8" t="str">
        <f t="shared" si="0"/>
        <v xml:space="preserve">Dhiren </v>
      </c>
      <c r="F10" s="8" t="str">
        <f t="shared" si="1"/>
        <v>Haria</v>
      </c>
      <c r="G10" s="4">
        <v>29700</v>
      </c>
      <c r="H10" s="3" t="s">
        <v>4</v>
      </c>
      <c r="I10" s="2" t="s">
        <v>3</v>
      </c>
      <c r="J10" s="2" t="s">
        <v>22</v>
      </c>
      <c r="K10" s="2" t="s">
        <v>1</v>
      </c>
      <c r="L10" s="1">
        <v>37000</v>
      </c>
      <c r="M10" s="8" t="str">
        <f t="shared" si="2"/>
        <v>DHLES4</v>
      </c>
    </row>
    <row r="11" spans="3:13" x14ac:dyDescent="0.3">
      <c r="C11" s="3">
        <v>5</v>
      </c>
      <c r="D11" s="2" t="s">
        <v>53</v>
      </c>
      <c r="E11" s="8" t="str">
        <f t="shared" si="0"/>
        <v xml:space="preserve">Rajesh </v>
      </c>
      <c r="F11" s="8" t="str">
        <f t="shared" si="1"/>
        <v>Dedhia</v>
      </c>
      <c r="G11" s="4">
        <v>31172</v>
      </c>
      <c r="H11" s="3" t="s">
        <v>4</v>
      </c>
      <c r="I11" s="2" t="s">
        <v>3</v>
      </c>
      <c r="J11" s="2" t="s">
        <v>10</v>
      </c>
      <c r="K11" s="2" t="s">
        <v>36</v>
      </c>
      <c r="L11" s="1">
        <v>91000</v>
      </c>
      <c r="M11" s="8" t="str">
        <f t="shared" si="2"/>
        <v>RDDIN5</v>
      </c>
    </row>
    <row r="12" spans="3:13" x14ac:dyDescent="0.3">
      <c r="C12" s="3">
        <v>6</v>
      </c>
      <c r="D12" s="2" t="s">
        <v>52</v>
      </c>
      <c r="E12" s="8" t="str">
        <f t="shared" si="0"/>
        <v xml:space="preserve">Heena </v>
      </c>
      <c r="F12" s="8" t="str">
        <f t="shared" si="1"/>
        <v>Dongre</v>
      </c>
      <c r="G12" s="4">
        <v>31246</v>
      </c>
      <c r="H12" s="3" t="s">
        <v>4</v>
      </c>
      <c r="I12" s="2" t="s">
        <v>3</v>
      </c>
      <c r="J12" s="2" t="s">
        <v>17</v>
      </c>
      <c r="K12" s="2" t="s">
        <v>36</v>
      </c>
      <c r="L12" s="1">
        <v>50000</v>
      </c>
      <c r="M12" s="8" t="str">
        <f t="shared" si="2"/>
        <v>HDINN6</v>
      </c>
    </row>
    <row r="13" spans="3:13" x14ac:dyDescent="0.3">
      <c r="C13" s="3">
        <v>7</v>
      </c>
      <c r="D13" s="2" t="s">
        <v>51</v>
      </c>
      <c r="E13" s="8" t="str">
        <f t="shared" si="0"/>
        <v xml:space="preserve">Bobby </v>
      </c>
      <c r="F13" s="8" t="str">
        <f t="shared" si="1"/>
        <v>Tanna</v>
      </c>
      <c r="G13" s="4">
        <v>31739</v>
      </c>
      <c r="H13" s="3" t="s">
        <v>4</v>
      </c>
      <c r="I13" s="2" t="s">
        <v>3</v>
      </c>
      <c r="J13" s="2" t="s">
        <v>7</v>
      </c>
      <c r="K13" s="2" t="s">
        <v>1</v>
      </c>
      <c r="L13" s="1">
        <v>58000</v>
      </c>
      <c r="M13" s="8" t="str">
        <f t="shared" si="2"/>
        <v>BTMAS7</v>
      </c>
    </row>
    <row r="14" spans="3:13" x14ac:dyDescent="0.3">
      <c r="C14" s="3">
        <v>8</v>
      </c>
      <c r="D14" s="2" t="s">
        <v>50</v>
      </c>
      <c r="E14" s="8" t="str">
        <f t="shared" si="0"/>
        <v xml:space="preserve">Stan </v>
      </c>
      <c r="F14" s="8" t="str">
        <f t="shared" si="1"/>
        <v>Serrao</v>
      </c>
      <c r="G14" s="4">
        <v>31860</v>
      </c>
      <c r="H14" s="3" t="s">
        <v>4</v>
      </c>
      <c r="I14" s="2" t="s">
        <v>3</v>
      </c>
      <c r="J14" s="2" t="s">
        <v>2</v>
      </c>
      <c r="K14" s="2" t="s">
        <v>36</v>
      </c>
      <c r="L14" s="1">
        <v>85000</v>
      </c>
      <c r="M14" s="8" t="str">
        <f t="shared" si="2"/>
        <v>SSFIN8</v>
      </c>
    </row>
    <row r="15" spans="3:13" x14ac:dyDescent="0.3">
      <c r="C15" s="3">
        <v>9</v>
      </c>
      <c r="D15" s="2" t="s">
        <v>49</v>
      </c>
      <c r="E15" s="8" t="str">
        <f t="shared" si="0"/>
        <v xml:space="preserve">Rajeesh </v>
      </c>
      <c r="F15" s="8" t="str">
        <f t="shared" si="1"/>
        <v>C</v>
      </c>
      <c r="G15" s="4">
        <v>31906</v>
      </c>
      <c r="H15" s="3" t="s">
        <v>4</v>
      </c>
      <c r="I15" s="2" t="s">
        <v>39</v>
      </c>
      <c r="J15" s="2" t="s">
        <v>17</v>
      </c>
      <c r="K15" s="2" t="s">
        <v>1</v>
      </c>
      <c r="L15" s="1">
        <v>87000</v>
      </c>
      <c r="M15" s="8" t="str">
        <f t="shared" si="2"/>
        <v>RCINS9</v>
      </c>
    </row>
    <row r="16" spans="3:13" x14ac:dyDescent="0.3">
      <c r="C16" s="3">
        <v>10</v>
      </c>
      <c r="D16" s="2" t="s">
        <v>48</v>
      </c>
      <c r="E16" s="8" t="str">
        <f t="shared" si="0"/>
        <v xml:space="preserve">Tulsidas </v>
      </c>
      <c r="F16" s="8" t="str">
        <f t="shared" si="1"/>
        <v>Shetty</v>
      </c>
      <c r="G16" s="4">
        <v>33276</v>
      </c>
      <c r="H16" s="3" t="s">
        <v>8</v>
      </c>
      <c r="I16" s="2" t="s">
        <v>3</v>
      </c>
      <c r="J16" s="2" t="s">
        <v>19</v>
      </c>
      <c r="K16" s="2" t="s">
        <v>36</v>
      </c>
      <c r="L16" s="1">
        <v>81000</v>
      </c>
      <c r="M16" s="8" t="str">
        <f t="shared" si="2"/>
        <v>TSDIN10</v>
      </c>
    </row>
    <row r="17" spans="3:13" x14ac:dyDescent="0.3">
      <c r="C17" s="3">
        <v>11</v>
      </c>
      <c r="D17" s="2" t="s">
        <v>47</v>
      </c>
      <c r="E17" s="8" t="str">
        <f t="shared" si="0"/>
        <v xml:space="preserve">Sachin </v>
      </c>
      <c r="F17" s="8" t="str">
        <f t="shared" si="1"/>
        <v>Bangera</v>
      </c>
      <c r="G17" s="4">
        <v>33365</v>
      </c>
      <c r="H17" s="3" t="s">
        <v>8</v>
      </c>
      <c r="I17" s="2" t="s">
        <v>39</v>
      </c>
      <c r="J17" s="2" t="s">
        <v>19</v>
      </c>
      <c r="K17" s="2" t="s">
        <v>36</v>
      </c>
      <c r="L17" s="1">
        <v>35000</v>
      </c>
      <c r="M17" s="8" t="str">
        <f t="shared" si="2"/>
        <v>SBDIN11</v>
      </c>
    </row>
    <row r="18" spans="3:13" x14ac:dyDescent="0.3">
      <c r="C18" s="3">
        <v>12</v>
      </c>
      <c r="D18" s="2" t="s">
        <v>46</v>
      </c>
      <c r="E18" s="8" t="str">
        <f t="shared" si="0"/>
        <v xml:space="preserve">Boneca </v>
      </c>
      <c r="F18" s="8" t="str">
        <f t="shared" si="1"/>
        <v>Rego</v>
      </c>
      <c r="G18" s="4">
        <v>34028</v>
      </c>
      <c r="H18" s="3" t="s">
        <v>8</v>
      </c>
      <c r="I18" s="2" t="s">
        <v>39</v>
      </c>
      <c r="J18" s="2" t="s">
        <v>2</v>
      </c>
      <c r="K18" s="2" t="s">
        <v>6</v>
      </c>
      <c r="L18" s="1">
        <v>49000</v>
      </c>
      <c r="M18" s="8" t="str">
        <f t="shared" si="2"/>
        <v>BRFIE12</v>
      </c>
    </row>
    <row r="19" spans="3:13" x14ac:dyDescent="0.3">
      <c r="C19" s="3">
        <v>13</v>
      </c>
      <c r="D19" s="2" t="s">
        <v>45</v>
      </c>
      <c r="E19" s="8" t="str">
        <f t="shared" si="0"/>
        <v xml:space="preserve">Rajeev </v>
      </c>
      <c r="F19" s="8" t="str">
        <f t="shared" si="1"/>
        <v>Singh</v>
      </c>
      <c r="G19" s="4">
        <v>34037</v>
      </c>
      <c r="H19" s="3" t="s">
        <v>8</v>
      </c>
      <c r="I19" s="2" t="s">
        <v>3</v>
      </c>
      <c r="J19" s="2" t="s">
        <v>25</v>
      </c>
      <c r="K19" s="2" t="s">
        <v>36</v>
      </c>
      <c r="L19" s="1">
        <v>52000</v>
      </c>
      <c r="M19" s="8" t="str">
        <f t="shared" si="2"/>
        <v>RSSAN13</v>
      </c>
    </row>
    <row r="20" spans="3:13" x14ac:dyDescent="0.3">
      <c r="C20" s="3">
        <v>14</v>
      </c>
      <c r="D20" s="2" t="s">
        <v>44</v>
      </c>
      <c r="E20" s="8" t="str">
        <f t="shared" si="0"/>
        <v xml:space="preserve">Gururaj </v>
      </c>
      <c r="F20" s="8" t="str">
        <f t="shared" si="1"/>
        <v>Joshi</v>
      </c>
      <c r="G20" s="4">
        <v>34221</v>
      </c>
      <c r="H20" s="3" t="s">
        <v>4</v>
      </c>
      <c r="I20" s="2" t="s">
        <v>3</v>
      </c>
      <c r="J20" s="2" t="s">
        <v>22</v>
      </c>
      <c r="K20" s="2" t="s">
        <v>6</v>
      </c>
      <c r="L20" s="1">
        <v>43000</v>
      </c>
      <c r="M20" s="8" t="str">
        <f t="shared" si="2"/>
        <v>GJLEE14</v>
      </c>
    </row>
    <row r="21" spans="3:13" x14ac:dyDescent="0.3">
      <c r="C21" s="3">
        <v>15</v>
      </c>
      <c r="D21" s="2" t="s">
        <v>43</v>
      </c>
      <c r="E21" s="8" t="str">
        <f t="shared" si="0"/>
        <v xml:space="preserve">Sudesh </v>
      </c>
      <c r="F21" s="8" t="str">
        <f t="shared" si="1"/>
        <v>Pillai</v>
      </c>
      <c r="G21" s="4">
        <v>34368</v>
      </c>
      <c r="H21" s="3" t="s">
        <v>4</v>
      </c>
      <c r="I21" s="2" t="s">
        <v>39</v>
      </c>
      <c r="J21" s="2" t="s">
        <v>17</v>
      </c>
      <c r="K21" s="2" t="s">
        <v>6</v>
      </c>
      <c r="L21" s="1">
        <v>75000</v>
      </c>
      <c r="M21" s="8" t="str">
        <f t="shared" si="2"/>
        <v>SPINE15</v>
      </c>
    </row>
    <row r="22" spans="3:13" x14ac:dyDescent="0.3">
      <c r="C22" s="3">
        <v>16</v>
      </c>
      <c r="D22" s="2" t="s">
        <v>42</v>
      </c>
      <c r="E22" s="8" t="str">
        <f t="shared" si="0"/>
        <v xml:space="preserve">Yashraj </v>
      </c>
      <c r="F22" s="8" t="str">
        <f t="shared" si="1"/>
        <v>Vaidya</v>
      </c>
      <c r="G22" s="4">
        <v>34966</v>
      </c>
      <c r="H22" s="3" t="s">
        <v>4</v>
      </c>
      <c r="I22" s="2" t="s">
        <v>39</v>
      </c>
      <c r="J22" s="2" t="s">
        <v>14</v>
      </c>
      <c r="K22" s="2" t="s">
        <v>36</v>
      </c>
      <c r="L22" s="1">
        <v>26000</v>
      </c>
      <c r="M22" s="8" t="str">
        <f t="shared" si="2"/>
        <v>YVCCN16</v>
      </c>
    </row>
    <row r="23" spans="3:13" x14ac:dyDescent="0.3">
      <c r="C23" s="3">
        <v>17</v>
      </c>
      <c r="D23" s="2" t="s">
        <v>41</v>
      </c>
      <c r="E23" s="8" t="str">
        <f t="shared" si="0"/>
        <v xml:space="preserve">Dinesh </v>
      </c>
      <c r="F23" s="8" t="str">
        <f t="shared" si="1"/>
        <v>Dhanuka</v>
      </c>
      <c r="G23" s="4">
        <v>35337</v>
      </c>
      <c r="H23" s="3" t="s">
        <v>4</v>
      </c>
      <c r="I23" s="2" t="s">
        <v>39</v>
      </c>
      <c r="J23" s="2" t="s">
        <v>19</v>
      </c>
      <c r="K23" s="2" t="s">
        <v>6</v>
      </c>
      <c r="L23" s="1">
        <v>92000</v>
      </c>
      <c r="M23" s="8" t="str">
        <f t="shared" si="2"/>
        <v>DDDIE17</v>
      </c>
    </row>
    <row r="24" spans="3:13" x14ac:dyDescent="0.3">
      <c r="C24" s="3">
        <v>18</v>
      </c>
      <c r="D24" s="2" t="s">
        <v>40</v>
      </c>
      <c r="E24" s="8" t="str">
        <f t="shared" si="0"/>
        <v xml:space="preserve">Yogesh </v>
      </c>
      <c r="F24" s="8" t="str">
        <f t="shared" si="1"/>
        <v>Mansharamani</v>
      </c>
      <c r="G24" s="4">
        <v>35819</v>
      </c>
      <c r="H24" s="3" t="s">
        <v>8</v>
      </c>
      <c r="I24" s="2" t="s">
        <v>39</v>
      </c>
      <c r="J24" s="2" t="s">
        <v>37</v>
      </c>
      <c r="K24" s="2" t="s">
        <v>1</v>
      </c>
      <c r="L24" s="1">
        <v>62000</v>
      </c>
      <c r="M24" s="8" t="str">
        <f t="shared" si="2"/>
        <v>YMFLS18</v>
      </c>
    </row>
    <row r="25" spans="3:13" x14ac:dyDescent="0.3">
      <c r="C25" s="3">
        <v>19</v>
      </c>
      <c r="D25" s="2" t="s">
        <v>38</v>
      </c>
      <c r="E25" s="8" t="str">
        <f t="shared" si="0"/>
        <v xml:space="preserve">Ram </v>
      </c>
      <c r="F25" s="8" t="str">
        <f t="shared" si="1"/>
        <v>Ambradkar</v>
      </c>
      <c r="G25" s="4">
        <v>36199</v>
      </c>
      <c r="H25" s="3" t="s">
        <v>8</v>
      </c>
      <c r="I25" s="2" t="s">
        <v>3</v>
      </c>
      <c r="J25" s="2" t="s">
        <v>37</v>
      </c>
      <c r="K25" s="2" t="s">
        <v>36</v>
      </c>
      <c r="L25" s="1">
        <v>48000</v>
      </c>
      <c r="M25" s="8" t="str">
        <f t="shared" si="2"/>
        <v>RAFLN19</v>
      </c>
    </row>
    <row r="26" spans="3:13" x14ac:dyDescent="0.3">
      <c r="C26" s="3">
        <v>20</v>
      </c>
      <c r="D26" s="2" t="s">
        <v>35</v>
      </c>
      <c r="E26" s="8" t="str">
        <f t="shared" si="0"/>
        <v xml:space="preserve">Ruffina </v>
      </c>
      <c r="F26" s="8" t="str">
        <f t="shared" si="1"/>
        <v>Joshi</v>
      </c>
      <c r="G26" s="4">
        <v>36279</v>
      </c>
      <c r="H26" s="3" t="s">
        <v>8</v>
      </c>
      <c r="I26" s="2" t="s">
        <v>3</v>
      </c>
      <c r="J26" s="2" t="s">
        <v>34</v>
      </c>
      <c r="K26" s="2" t="s">
        <v>6</v>
      </c>
      <c r="L26" s="1">
        <v>90000</v>
      </c>
      <c r="M26" s="8" t="str">
        <f t="shared" si="2"/>
        <v>RJCEE20</v>
      </c>
    </row>
    <row r="27" spans="3:13" x14ac:dyDescent="0.3">
      <c r="C27" s="3">
        <v>21</v>
      </c>
      <c r="D27" s="2" t="s">
        <v>33</v>
      </c>
      <c r="E27" s="8" t="str">
        <f t="shared" si="0"/>
        <v xml:space="preserve">Simon </v>
      </c>
      <c r="F27" s="8" t="str">
        <f t="shared" si="1"/>
        <v>Rodrigues</v>
      </c>
      <c r="G27" s="4">
        <v>36478</v>
      </c>
      <c r="H27" s="3" t="s">
        <v>4</v>
      </c>
      <c r="I27" s="2" t="s">
        <v>3</v>
      </c>
      <c r="J27" s="2" t="s">
        <v>2</v>
      </c>
      <c r="K27" s="2" t="s">
        <v>21</v>
      </c>
      <c r="L27" s="1">
        <v>83000</v>
      </c>
      <c r="M27" s="8" t="str">
        <f t="shared" si="2"/>
        <v>SRFIM21</v>
      </c>
    </row>
    <row r="28" spans="3:13" x14ac:dyDescent="0.3">
      <c r="C28" s="3">
        <v>22</v>
      </c>
      <c r="D28" s="2" t="s">
        <v>32</v>
      </c>
      <c r="E28" s="8" t="str">
        <f t="shared" si="0"/>
        <v xml:space="preserve">Dhiren </v>
      </c>
      <c r="F28" s="8" t="str">
        <f t="shared" si="1"/>
        <v>Sheth</v>
      </c>
      <c r="G28" s="4">
        <v>37027</v>
      </c>
      <c r="H28" s="3" t="s">
        <v>4</v>
      </c>
      <c r="I28" s="2" t="s">
        <v>3</v>
      </c>
      <c r="J28" s="2" t="s">
        <v>14</v>
      </c>
      <c r="K28" s="2" t="s">
        <v>6</v>
      </c>
      <c r="L28" s="1">
        <v>47000</v>
      </c>
      <c r="M28" s="8" t="str">
        <f t="shared" si="2"/>
        <v>DSCCE22</v>
      </c>
    </row>
    <row r="29" spans="3:13" x14ac:dyDescent="0.3">
      <c r="C29" s="3">
        <v>23</v>
      </c>
      <c r="D29" s="2" t="s">
        <v>31</v>
      </c>
      <c r="E29" s="8" t="str">
        <f t="shared" si="0"/>
        <v xml:space="preserve">Ashok </v>
      </c>
      <c r="F29" s="8" t="str">
        <f t="shared" si="1"/>
        <v>Samtaney</v>
      </c>
      <c r="G29" s="4">
        <v>37946</v>
      </c>
      <c r="H29" s="3" t="s">
        <v>8</v>
      </c>
      <c r="I29" s="2" t="s">
        <v>3</v>
      </c>
      <c r="J29" s="2" t="s">
        <v>25</v>
      </c>
      <c r="K29" s="2" t="s">
        <v>1</v>
      </c>
      <c r="L29" s="1">
        <v>53000</v>
      </c>
      <c r="M29" s="8" t="str">
        <f t="shared" si="2"/>
        <v>ASSAS23</v>
      </c>
    </row>
    <row r="30" spans="3:13" x14ac:dyDescent="0.3">
      <c r="C30" s="3">
        <v>24</v>
      </c>
      <c r="D30" s="2" t="s">
        <v>30</v>
      </c>
      <c r="E30" s="8" t="str">
        <f t="shared" si="0"/>
        <v xml:space="preserve">Vishnu </v>
      </c>
      <c r="F30" s="8" t="str">
        <f t="shared" si="1"/>
        <v>Desai</v>
      </c>
      <c r="G30" s="4">
        <v>38113</v>
      </c>
      <c r="H30" s="3" t="s">
        <v>4</v>
      </c>
      <c r="I30" s="2" t="s">
        <v>3</v>
      </c>
      <c r="J30" s="2" t="s">
        <v>19</v>
      </c>
      <c r="K30" s="2" t="s">
        <v>21</v>
      </c>
      <c r="L30" s="1">
        <v>45000</v>
      </c>
      <c r="M30" s="8" t="str">
        <f t="shared" si="2"/>
        <v>VDDIM24</v>
      </c>
    </row>
    <row r="31" spans="3:13" x14ac:dyDescent="0.3">
      <c r="C31" s="3">
        <v>25</v>
      </c>
      <c r="D31" s="2" t="s">
        <v>29</v>
      </c>
      <c r="E31" s="8" t="str">
        <f t="shared" si="0"/>
        <v xml:space="preserve">Raju </v>
      </c>
      <c r="F31" s="8" t="str">
        <f t="shared" si="1"/>
        <v>Manek</v>
      </c>
      <c r="G31" s="4">
        <v>38449</v>
      </c>
      <c r="H31" s="3" t="s">
        <v>8</v>
      </c>
      <c r="I31" s="2" t="s">
        <v>3</v>
      </c>
      <c r="J31" s="2" t="s">
        <v>14</v>
      </c>
      <c r="K31" s="2" t="s">
        <v>1</v>
      </c>
      <c r="L31" s="1">
        <v>85000</v>
      </c>
      <c r="M31" s="8" t="str">
        <f t="shared" si="2"/>
        <v>RMCCS25</v>
      </c>
    </row>
    <row r="32" spans="3:13" x14ac:dyDescent="0.3">
      <c r="C32" s="3">
        <v>26</v>
      </c>
      <c r="D32" s="2" t="s">
        <v>28</v>
      </c>
      <c r="E32" s="8" t="str">
        <f t="shared" si="0"/>
        <v xml:space="preserve">Jagjit </v>
      </c>
      <c r="F32" s="8" t="str">
        <f t="shared" si="1"/>
        <v>Kahlon</v>
      </c>
      <c r="G32" s="4">
        <v>39846</v>
      </c>
      <c r="H32" s="3" t="s">
        <v>4</v>
      </c>
      <c r="I32" s="2" t="s">
        <v>3</v>
      </c>
      <c r="J32" s="2" t="s">
        <v>14</v>
      </c>
      <c r="K32" s="2" t="s">
        <v>6</v>
      </c>
      <c r="L32" s="1">
        <v>34000</v>
      </c>
      <c r="M32" s="8" t="str">
        <f t="shared" si="2"/>
        <v>JKCCE26</v>
      </c>
    </row>
    <row r="33" spans="3:13" x14ac:dyDescent="0.3">
      <c r="C33" s="3">
        <v>27</v>
      </c>
      <c r="D33" s="2" t="s">
        <v>27</v>
      </c>
      <c r="E33" s="8" t="str">
        <f t="shared" si="0"/>
        <v xml:space="preserve">Satish </v>
      </c>
      <c r="F33" s="8" t="str">
        <f t="shared" si="1"/>
        <v>Pasari</v>
      </c>
      <c r="G33" s="4">
        <v>40330</v>
      </c>
      <c r="H33" s="3" t="s">
        <v>4</v>
      </c>
      <c r="I33" s="2" t="s">
        <v>3</v>
      </c>
      <c r="J33" s="2" t="s">
        <v>17</v>
      </c>
      <c r="K33" s="2" t="s">
        <v>21</v>
      </c>
      <c r="L33" s="1">
        <v>15000</v>
      </c>
      <c r="M33" s="8" t="str">
        <f t="shared" si="2"/>
        <v>SPINM27</v>
      </c>
    </row>
    <row r="34" spans="3:13" x14ac:dyDescent="0.3">
      <c r="C34" s="3">
        <v>28</v>
      </c>
      <c r="D34" s="2" t="s">
        <v>26</v>
      </c>
      <c r="E34" s="8" t="str">
        <f t="shared" si="0"/>
        <v xml:space="preserve">Kawdoor </v>
      </c>
      <c r="F34" s="8" t="str">
        <f t="shared" si="1"/>
        <v>Shetty</v>
      </c>
      <c r="G34" s="4">
        <v>40495</v>
      </c>
      <c r="H34" s="3" t="s">
        <v>8</v>
      </c>
      <c r="I34" s="2" t="s">
        <v>3</v>
      </c>
      <c r="J34" s="2" t="s">
        <v>25</v>
      </c>
      <c r="K34" s="2" t="s">
        <v>1</v>
      </c>
      <c r="L34" s="1">
        <v>57000</v>
      </c>
      <c r="M34" s="8" t="str">
        <f t="shared" si="2"/>
        <v>KSSAS28</v>
      </c>
    </row>
    <row r="35" spans="3:13" x14ac:dyDescent="0.3">
      <c r="C35" s="3">
        <v>29</v>
      </c>
      <c r="D35" s="2" t="s">
        <v>24</v>
      </c>
      <c r="E35" s="8" t="str">
        <f t="shared" si="0"/>
        <v xml:space="preserve">Jitendra </v>
      </c>
      <c r="F35" s="8" t="str">
        <f t="shared" si="1"/>
        <v>Thacker</v>
      </c>
      <c r="G35" s="4">
        <v>40574</v>
      </c>
      <c r="H35" s="3" t="s">
        <v>4</v>
      </c>
      <c r="I35" s="2" t="s">
        <v>3</v>
      </c>
      <c r="J35" s="2" t="s">
        <v>7</v>
      </c>
      <c r="K35" s="2" t="s">
        <v>21</v>
      </c>
      <c r="L35" s="1">
        <v>47000</v>
      </c>
      <c r="M35" s="8" t="str">
        <f t="shared" si="2"/>
        <v>JTMAM29</v>
      </c>
    </row>
    <row r="36" spans="3:13" x14ac:dyDescent="0.3">
      <c r="C36" s="3">
        <v>30</v>
      </c>
      <c r="D36" s="2" t="s">
        <v>23</v>
      </c>
      <c r="E36" s="8" t="str">
        <f t="shared" si="0"/>
        <v xml:space="preserve">Dattatray </v>
      </c>
      <c r="F36" s="8" t="str">
        <f t="shared" si="1"/>
        <v>Desai</v>
      </c>
      <c r="G36" s="4">
        <v>41400</v>
      </c>
      <c r="H36" s="3" t="s">
        <v>4</v>
      </c>
      <c r="I36" s="2" t="s">
        <v>3</v>
      </c>
      <c r="J36" s="2" t="s">
        <v>22</v>
      </c>
      <c r="K36" s="2" t="s">
        <v>21</v>
      </c>
      <c r="L36" s="1">
        <v>77000</v>
      </c>
      <c r="M36" s="8" t="str">
        <f t="shared" si="2"/>
        <v>DDLEM30</v>
      </c>
    </row>
    <row r="37" spans="3:13" x14ac:dyDescent="0.3">
      <c r="C37" s="3">
        <v>31</v>
      </c>
      <c r="D37" s="2" t="s">
        <v>20</v>
      </c>
      <c r="E37" s="8" t="str">
        <f t="shared" si="0"/>
        <v xml:space="preserve">Piyush </v>
      </c>
      <c r="F37" s="8" t="str">
        <f t="shared" si="1"/>
        <v>Kamdar</v>
      </c>
      <c r="G37" s="4">
        <v>42027</v>
      </c>
      <c r="H37" s="3" t="s">
        <v>4</v>
      </c>
      <c r="I37" s="2" t="s">
        <v>3</v>
      </c>
      <c r="J37" s="2" t="s">
        <v>19</v>
      </c>
      <c r="K37" s="2" t="s">
        <v>1</v>
      </c>
      <c r="L37" s="1">
        <v>82000</v>
      </c>
      <c r="M37" s="8" t="str">
        <f t="shared" si="2"/>
        <v>PKDIS31</v>
      </c>
    </row>
    <row r="38" spans="3:13" x14ac:dyDescent="0.3">
      <c r="C38" s="3">
        <v>32</v>
      </c>
      <c r="D38" s="2" t="s">
        <v>18</v>
      </c>
      <c r="E38" s="8" t="str">
        <f t="shared" si="0"/>
        <v xml:space="preserve">D </v>
      </c>
      <c r="F38" s="8" t="str">
        <f t="shared" si="1"/>
        <v>Kulkarni</v>
      </c>
      <c r="G38" s="4">
        <v>42124</v>
      </c>
      <c r="H38" s="3" t="s">
        <v>4</v>
      </c>
      <c r="I38" s="2" t="s">
        <v>3</v>
      </c>
      <c r="J38" s="2" t="s">
        <v>17</v>
      </c>
      <c r="K38" s="2" t="s">
        <v>1</v>
      </c>
      <c r="L38" s="1">
        <v>67000</v>
      </c>
      <c r="M38" s="8" t="str">
        <f t="shared" si="2"/>
        <v>DKINS32</v>
      </c>
    </row>
    <row r="39" spans="3:13" x14ac:dyDescent="0.3">
      <c r="C39" s="3">
        <v>33</v>
      </c>
      <c r="D39" s="2" t="s">
        <v>16</v>
      </c>
      <c r="E39" s="8" t="str">
        <f t="shared" si="0"/>
        <v xml:space="preserve">Praful </v>
      </c>
      <c r="F39" s="8" t="str">
        <f t="shared" si="1"/>
        <v>Savla</v>
      </c>
      <c r="G39" s="4">
        <v>42208</v>
      </c>
      <c r="H39" s="3" t="s">
        <v>4</v>
      </c>
      <c r="I39" s="2" t="s">
        <v>3</v>
      </c>
      <c r="J39" s="2" t="s">
        <v>12</v>
      </c>
      <c r="K39" s="2" t="s">
        <v>1</v>
      </c>
      <c r="L39" s="1">
        <v>65000</v>
      </c>
      <c r="M39" s="8" t="str">
        <f t="shared" si="2"/>
        <v>PSOPS33</v>
      </c>
    </row>
    <row r="40" spans="3:13" x14ac:dyDescent="0.3">
      <c r="C40" s="3">
        <v>34</v>
      </c>
      <c r="D40" s="2" t="s">
        <v>15</v>
      </c>
      <c r="E40" s="8" t="str">
        <f t="shared" si="0"/>
        <v xml:space="preserve">Sharadchandra </v>
      </c>
      <c r="F40" s="8" t="str">
        <f t="shared" si="1"/>
        <v>Riswadkar</v>
      </c>
      <c r="G40" s="4">
        <v>42400</v>
      </c>
      <c r="H40" s="3" t="s">
        <v>4</v>
      </c>
      <c r="I40" s="2" t="s">
        <v>3</v>
      </c>
      <c r="J40" s="2" t="s">
        <v>14</v>
      </c>
      <c r="K40" s="2" t="s">
        <v>1</v>
      </c>
      <c r="L40" s="1">
        <v>50000</v>
      </c>
      <c r="M40" s="8" t="str">
        <f t="shared" si="2"/>
        <v>SRCCS34</v>
      </c>
    </row>
    <row r="41" spans="3:13" x14ac:dyDescent="0.3">
      <c r="C41" s="3">
        <v>35</v>
      </c>
      <c r="D41" s="2" t="s">
        <v>13</v>
      </c>
      <c r="E41" s="8" t="str">
        <f t="shared" si="0"/>
        <v xml:space="preserve">Nitin </v>
      </c>
      <c r="F41" s="8" t="str">
        <f t="shared" si="1"/>
        <v>Patki</v>
      </c>
      <c r="G41" s="4">
        <v>42629</v>
      </c>
      <c r="H41" s="3" t="s">
        <v>8</v>
      </c>
      <c r="I41" s="2" t="s">
        <v>3</v>
      </c>
      <c r="J41" s="2" t="s">
        <v>12</v>
      </c>
      <c r="K41" s="2" t="s">
        <v>1</v>
      </c>
      <c r="L41" s="1">
        <v>81000</v>
      </c>
      <c r="M41" s="8" t="str">
        <f t="shared" si="2"/>
        <v>NPOPS35</v>
      </c>
    </row>
    <row r="42" spans="3:13" x14ac:dyDescent="0.3">
      <c r="C42" s="3">
        <v>36</v>
      </c>
      <c r="D42" s="2" t="s">
        <v>11</v>
      </c>
      <c r="E42" s="8" t="str">
        <f t="shared" si="0"/>
        <v xml:space="preserve">Shankar </v>
      </c>
      <c r="F42" s="8" t="str">
        <f t="shared" si="1"/>
        <v>Shetty</v>
      </c>
      <c r="G42" s="4">
        <v>42773</v>
      </c>
      <c r="H42" s="3" t="s">
        <v>8</v>
      </c>
      <c r="I42" s="2" t="s">
        <v>3</v>
      </c>
      <c r="J42" s="2" t="s">
        <v>10</v>
      </c>
      <c r="K42" s="2" t="s">
        <v>1</v>
      </c>
      <c r="L42" s="1">
        <v>87000</v>
      </c>
      <c r="M42" s="8" t="str">
        <f t="shared" si="2"/>
        <v>SSDIS36</v>
      </c>
    </row>
    <row r="43" spans="3:13" x14ac:dyDescent="0.3">
      <c r="C43" s="3">
        <v>37</v>
      </c>
      <c r="D43" s="2" t="s">
        <v>9</v>
      </c>
      <c r="E43" s="8" t="str">
        <f t="shared" si="0"/>
        <v xml:space="preserve">Venitha </v>
      </c>
      <c r="F43" s="8" t="str">
        <f t="shared" si="1"/>
        <v>Shetty</v>
      </c>
      <c r="G43" s="4">
        <v>42890</v>
      </c>
      <c r="H43" s="3" t="s">
        <v>8</v>
      </c>
      <c r="I43" s="2" t="s">
        <v>3</v>
      </c>
      <c r="J43" s="2" t="s">
        <v>7</v>
      </c>
      <c r="K43" s="2" t="s">
        <v>6</v>
      </c>
      <c r="L43" s="1">
        <v>27000</v>
      </c>
      <c r="M43" s="8" t="str">
        <f t="shared" si="2"/>
        <v>VSMAE37</v>
      </c>
    </row>
    <row r="44" spans="3:13" x14ac:dyDescent="0.3">
      <c r="C44" s="3">
        <v>38</v>
      </c>
      <c r="D44" s="2" t="s">
        <v>5</v>
      </c>
      <c r="E44" s="8" t="str">
        <f t="shared" si="0"/>
        <v xml:space="preserve">Prem </v>
      </c>
      <c r="F44" s="8" t="str">
        <f t="shared" si="1"/>
        <v>Pherwani</v>
      </c>
      <c r="G44" s="4">
        <v>43092</v>
      </c>
      <c r="H44" s="3" t="s">
        <v>4</v>
      </c>
      <c r="I44" s="2" t="s">
        <v>3</v>
      </c>
      <c r="J44" s="2" t="s">
        <v>2</v>
      </c>
      <c r="K44" s="2" t="s">
        <v>1</v>
      </c>
      <c r="L44" s="1">
        <v>19000</v>
      </c>
      <c r="M44" s="8" t="str">
        <f t="shared" si="2"/>
        <v>PPFIS38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D510-2E76-4A1D-9B8A-2EA7EAE8A508}">
  <dimension ref="B3:I33"/>
  <sheetViews>
    <sheetView topLeftCell="A13" workbookViewId="0">
      <selection activeCell="G3" sqref="G3"/>
    </sheetView>
  </sheetViews>
  <sheetFormatPr defaultRowHeight="14.4" x14ac:dyDescent="0.3"/>
  <cols>
    <col min="2" max="2" width="19.5546875" bestFit="1" customWidth="1"/>
    <col min="3" max="3" width="17.5546875" bestFit="1" customWidth="1"/>
    <col min="5" max="5" width="15.6640625" bestFit="1" customWidth="1"/>
    <col min="6" max="6" width="18.33203125" bestFit="1" customWidth="1"/>
    <col min="7" max="7" width="10.33203125" bestFit="1" customWidth="1"/>
    <col min="8" max="8" width="12" bestFit="1" customWidth="1"/>
    <col min="9" max="9" width="29.33203125" bestFit="1" customWidth="1"/>
  </cols>
  <sheetData>
    <row r="3" spans="2:9" x14ac:dyDescent="0.3">
      <c r="B3" s="9" t="s">
        <v>69</v>
      </c>
      <c r="C3" s="30">
        <f ca="1">TODAY()</f>
        <v>46050</v>
      </c>
      <c r="F3" s="9" t="s">
        <v>70</v>
      </c>
      <c r="G3" s="30">
        <f ca="1">TODAY()</f>
        <v>46050</v>
      </c>
    </row>
    <row r="4" spans="2:9" x14ac:dyDescent="0.3">
      <c r="B4" s="9" t="s">
        <v>71</v>
      </c>
      <c r="C4" s="32">
        <f ca="1">NOW()</f>
        <v>46050.422602662038</v>
      </c>
      <c r="F4" s="9" t="s">
        <v>72</v>
      </c>
      <c r="G4" s="10"/>
    </row>
    <row r="5" spans="2:9" x14ac:dyDescent="0.3">
      <c r="C5" s="31"/>
    </row>
    <row r="6" spans="2:9" x14ac:dyDescent="0.3">
      <c r="B6" s="9" t="s">
        <v>73</v>
      </c>
      <c r="C6" s="9" t="s">
        <v>74</v>
      </c>
      <c r="D6" s="9" t="s">
        <v>75</v>
      </c>
      <c r="E6" s="9" t="s">
        <v>76</v>
      </c>
      <c r="F6" s="9" t="s">
        <v>77</v>
      </c>
      <c r="G6" s="9" t="s">
        <v>78</v>
      </c>
      <c r="H6" s="9" t="s">
        <v>79</v>
      </c>
      <c r="I6" s="9" t="s">
        <v>80</v>
      </c>
    </row>
    <row r="7" spans="2:9" x14ac:dyDescent="0.3">
      <c r="B7" s="2" t="s">
        <v>46</v>
      </c>
      <c r="C7" s="4">
        <v>36478</v>
      </c>
      <c r="D7" s="10">
        <f>DAY(C7)</f>
        <v>14</v>
      </c>
      <c r="E7" s="10">
        <f>MONTH(C7)</f>
        <v>11</v>
      </c>
      <c r="F7" s="10" t="str">
        <f>TEXT(C7,"mmmm")</f>
        <v>November</v>
      </c>
      <c r="G7" s="10">
        <f>YEAR(C7)</f>
        <v>1999</v>
      </c>
      <c r="H7" s="10">
        <f ca="1">DATEDIF(C7,TODAY(),"Y")</f>
        <v>26</v>
      </c>
      <c r="I7" s="29" t="str">
        <f ca="1">DATEDIF(C7,TODAY(),"Y") &amp;"-" &amp;DATEDIF(C7,TODAY(),"M") &amp;"-" &amp;DATEDIF(C7,TODAY(),"d")</f>
        <v>26-314-9572</v>
      </c>
    </row>
    <row r="8" spans="2:9" x14ac:dyDescent="0.3">
      <c r="B8" s="2" t="s">
        <v>45</v>
      </c>
      <c r="C8" s="4">
        <v>37027</v>
      </c>
      <c r="D8" s="10">
        <f t="shared" ref="D8:D18" si="0">DAY(C8)</f>
        <v>16</v>
      </c>
      <c r="E8" s="10">
        <f t="shared" ref="E8:E18" si="1">MONTH(C8)</f>
        <v>5</v>
      </c>
      <c r="F8" s="10" t="str">
        <f t="shared" ref="F8:F18" si="2">TEXT(C8,"mmmm")</f>
        <v>May</v>
      </c>
      <c r="G8" s="10">
        <f t="shared" ref="G8:G18" si="3">YEAR(C8)</f>
        <v>2001</v>
      </c>
      <c r="H8" s="10">
        <f t="shared" ref="H8:H18" ca="1" si="4">DATEDIF(C8,TODAY(),"Y")</f>
        <v>24</v>
      </c>
      <c r="I8" s="29" t="str">
        <f t="shared" ref="I8:I18" ca="1" si="5">DATEDIF(C8,TODAY(),"Y") &amp;"-" &amp;DATEDIF(C8,TODAY(),"M") &amp;"-" &amp;DATEDIF(C8,TODAY(),"d")</f>
        <v>24-296-9023</v>
      </c>
    </row>
    <row r="9" spans="2:9" x14ac:dyDescent="0.3">
      <c r="B9" s="2" t="s">
        <v>44</v>
      </c>
      <c r="C9" s="4">
        <v>37946</v>
      </c>
      <c r="D9" s="10">
        <f t="shared" si="0"/>
        <v>21</v>
      </c>
      <c r="E9" s="10">
        <f t="shared" si="1"/>
        <v>11</v>
      </c>
      <c r="F9" s="10" t="str">
        <f t="shared" si="2"/>
        <v>November</v>
      </c>
      <c r="G9" s="10">
        <f t="shared" si="3"/>
        <v>2003</v>
      </c>
      <c r="H9" s="10">
        <f t="shared" ca="1" si="4"/>
        <v>22</v>
      </c>
      <c r="I9" s="29" t="str">
        <f t="shared" ca="1" si="5"/>
        <v>22-266-8104</v>
      </c>
    </row>
    <row r="10" spans="2:9" x14ac:dyDescent="0.3">
      <c r="B10" s="2" t="s">
        <v>43</v>
      </c>
      <c r="C10" s="4">
        <v>38113</v>
      </c>
      <c r="D10" s="10">
        <f t="shared" si="0"/>
        <v>6</v>
      </c>
      <c r="E10" s="10">
        <f t="shared" si="1"/>
        <v>5</v>
      </c>
      <c r="F10" s="10" t="str">
        <f t="shared" si="2"/>
        <v>May</v>
      </c>
      <c r="G10" s="10">
        <f t="shared" si="3"/>
        <v>2004</v>
      </c>
      <c r="H10" s="10">
        <f t="shared" ca="1" si="4"/>
        <v>21</v>
      </c>
      <c r="I10" s="29" t="str">
        <f t="shared" ca="1" si="5"/>
        <v>21-260-7937</v>
      </c>
    </row>
    <row r="11" spans="2:9" x14ac:dyDescent="0.3">
      <c r="B11" s="2" t="s">
        <v>42</v>
      </c>
      <c r="C11" s="4">
        <v>38449</v>
      </c>
      <c r="D11" s="10">
        <f t="shared" si="0"/>
        <v>7</v>
      </c>
      <c r="E11" s="10">
        <f t="shared" si="1"/>
        <v>4</v>
      </c>
      <c r="F11" s="10" t="str">
        <f t="shared" si="2"/>
        <v>April</v>
      </c>
      <c r="G11" s="10">
        <f t="shared" si="3"/>
        <v>2005</v>
      </c>
      <c r="H11" s="10">
        <f t="shared" ca="1" si="4"/>
        <v>20</v>
      </c>
      <c r="I11" s="29" t="str">
        <f t="shared" ca="1" si="5"/>
        <v>20-249-7601</v>
      </c>
    </row>
    <row r="12" spans="2:9" x14ac:dyDescent="0.3">
      <c r="B12" s="2" t="s">
        <v>41</v>
      </c>
      <c r="C12" s="4">
        <v>39846</v>
      </c>
      <c r="D12" s="10">
        <f t="shared" si="0"/>
        <v>2</v>
      </c>
      <c r="E12" s="10">
        <f t="shared" si="1"/>
        <v>2</v>
      </c>
      <c r="F12" s="10" t="str">
        <f t="shared" si="2"/>
        <v>February</v>
      </c>
      <c r="G12" s="10">
        <f t="shared" si="3"/>
        <v>2009</v>
      </c>
      <c r="H12" s="10">
        <f t="shared" ca="1" si="4"/>
        <v>16</v>
      </c>
      <c r="I12" s="29" t="str">
        <f t="shared" ca="1" si="5"/>
        <v>16-203-6204</v>
      </c>
    </row>
    <row r="13" spans="2:9" x14ac:dyDescent="0.3">
      <c r="B13" s="2" t="s">
        <v>40</v>
      </c>
      <c r="C13" s="4">
        <v>40330</v>
      </c>
      <c r="D13" s="10">
        <f t="shared" si="0"/>
        <v>1</v>
      </c>
      <c r="E13" s="10">
        <f t="shared" si="1"/>
        <v>6</v>
      </c>
      <c r="F13" s="10" t="str">
        <f t="shared" si="2"/>
        <v>June</v>
      </c>
      <c r="G13" s="10">
        <f t="shared" si="3"/>
        <v>2010</v>
      </c>
      <c r="H13" s="10">
        <f t="shared" ca="1" si="4"/>
        <v>15</v>
      </c>
      <c r="I13" s="29" t="str">
        <f t="shared" ca="1" si="5"/>
        <v>15-187-5720</v>
      </c>
    </row>
    <row r="14" spans="2:9" x14ac:dyDescent="0.3">
      <c r="B14" s="2" t="s">
        <v>38</v>
      </c>
      <c r="C14" s="4">
        <v>40495</v>
      </c>
      <c r="D14" s="10">
        <f t="shared" si="0"/>
        <v>13</v>
      </c>
      <c r="E14" s="10">
        <f t="shared" si="1"/>
        <v>11</v>
      </c>
      <c r="F14" s="10" t="str">
        <f t="shared" si="2"/>
        <v>November</v>
      </c>
      <c r="G14" s="10">
        <f t="shared" si="3"/>
        <v>2010</v>
      </c>
      <c r="H14" s="10">
        <f t="shared" ca="1" si="4"/>
        <v>15</v>
      </c>
      <c r="I14" s="29" t="str">
        <f t="shared" ca="1" si="5"/>
        <v>15-182-5555</v>
      </c>
    </row>
    <row r="15" spans="2:9" x14ac:dyDescent="0.3">
      <c r="B15" s="2" t="s">
        <v>35</v>
      </c>
      <c r="C15" s="4">
        <v>40574</v>
      </c>
      <c r="D15" s="10">
        <f t="shared" si="0"/>
        <v>31</v>
      </c>
      <c r="E15" s="10">
        <f t="shared" si="1"/>
        <v>1</v>
      </c>
      <c r="F15" s="10" t="str">
        <f t="shared" si="2"/>
        <v>January</v>
      </c>
      <c r="G15" s="10">
        <f t="shared" si="3"/>
        <v>2011</v>
      </c>
      <c r="H15" s="10">
        <f t="shared" ca="1" si="4"/>
        <v>14</v>
      </c>
      <c r="I15" s="29" t="str">
        <f t="shared" ca="1" si="5"/>
        <v>14-179-5476</v>
      </c>
    </row>
    <row r="16" spans="2:9" x14ac:dyDescent="0.3">
      <c r="B16" s="2" t="s">
        <v>33</v>
      </c>
      <c r="C16" s="4">
        <v>41400</v>
      </c>
      <c r="D16" s="10">
        <f t="shared" si="0"/>
        <v>6</v>
      </c>
      <c r="E16" s="10">
        <f t="shared" si="1"/>
        <v>5</v>
      </c>
      <c r="F16" s="10" t="str">
        <f t="shared" si="2"/>
        <v>May</v>
      </c>
      <c r="G16" s="10">
        <f t="shared" si="3"/>
        <v>2013</v>
      </c>
      <c r="H16" s="10">
        <f t="shared" ca="1" si="4"/>
        <v>12</v>
      </c>
      <c r="I16" s="29" t="str">
        <f t="shared" ca="1" si="5"/>
        <v>12-152-4650</v>
      </c>
    </row>
    <row r="17" spans="2:9" x14ac:dyDescent="0.3">
      <c r="B17" s="2" t="s">
        <v>32</v>
      </c>
      <c r="C17" s="4">
        <v>42027</v>
      </c>
      <c r="D17" s="10">
        <f t="shared" si="0"/>
        <v>23</v>
      </c>
      <c r="E17" s="10">
        <f t="shared" si="1"/>
        <v>1</v>
      </c>
      <c r="F17" s="10" t="str">
        <f t="shared" si="2"/>
        <v>January</v>
      </c>
      <c r="G17" s="10">
        <f t="shared" si="3"/>
        <v>2015</v>
      </c>
      <c r="H17" s="10">
        <f t="shared" ca="1" si="4"/>
        <v>11</v>
      </c>
      <c r="I17" s="29" t="str">
        <f t="shared" ca="1" si="5"/>
        <v>11-132-4023</v>
      </c>
    </row>
    <row r="18" spans="2:9" x14ac:dyDescent="0.3">
      <c r="B18" s="2" t="s">
        <v>31</v>
      </c>
      <c r="C18" s="4">
        <v>42124</v>
      </c>
      <c r="D18" s="10">
        <f t="shared" si="0"/>
        <v>30</v>
      </c>
      <c r="E18" s="10">
        <f t="shared" si="1"/>
        <v>4</v>
      </c>
      <c r="F18" s="10" t="str">
        <f t="shared" si="2"/>
        <v>April</v>
      </c>
      <c r="G18" s="10">
        <f t="shared" si="3"/>
        <v>2015</v>
      </c>
      <c r="H18" s="10">
        <f t="shared" ca="1" si="4"/>
        <v>10</v>
      </c>
      <c r="I18" s="29" t="str">
        <f t="shared" ca="1" si="5"/>
        <v>10-128-3926</v>
      </c>
    </row>
    <row r="22" spans="2:9" x14ac:dyDescent="0.3">
      <c r="B22" s="11" t="s">
        <v>81</v>
      </c>
    </row>
    <row r="24" spans="2:9" x14ac:dyDescent="0.3">
      <c r="B24" s="12" t="s">
        <v>82</v>
      </c>
      <c r="C24" s="12" t="s">
        <v>83</v>
      </c>
    </row>
    <row r="25" spans="2:9" x14ac:dyDescent="0.3">
      <c r="B25" s="13">
        <v>20070623</v>
      </c>
      <c r="C25" s="14" t="str">
        <f>LEFT(B25,4)&amp; "-"&amp;MID(B25,5,2)&amp;"-"&amp;RIGHT(B25,2)</f>
        <v>2007-06-23</v>
      </c>
    </row>
    <row r="26" spans="2:9" x14ac:dyDescent="0.3">
      <c r="B26" s="15">
        <v>20070624</v>
      </c>
      <c r="C26" s="14" t="str">
        <f t="shared" ref="C26:C33" si="6">LEFT(B26,4)&amp; "-"&amp;MID(B26,5,2)&amp;"-"&amp;RIGHT(B26,2)</f>
        <v>2007-06-24</v>
      </c>
    </row>
    <row r="27" spans="2:9" x14ac:dyDescent="0.3">
      <c r="B27" s="15">
        <v>20070523</v>
      </c>
      <c r="C27" s="14" t="str">
        <f t="shared" si="6"/>
        <v>2007-05-23</v>
      </c>
    </row>
    <row r="28" spans="2:9" x14ac:dyDescent="0.3">
      <c r="B28" s="15">
        <v>20061202</v>
      </c>
      <c r="C28" s="14" t="str">
        <f t="shared" si="6"/>
        <v>2006-12-02</v>
      </c>
    </row>
    <row r="29" spans="2:9" x14ac:dyDescent="0.3">
      <c r="B29" s="15">
        <v>20070112</v>
      </c>
      <c r="C29" s="14" t="str">
        <f t="shared" si="6"/>
        <v>2007-01-12</v>
      </c>
    </row>
    <row r="30" spans="2:9" x14ac:dyDescent="0.3">
      <c r="B30" s="15">
        <v>20070519</v>
      </c>
      <c r="C30" s="14" t="str">
        <f t="shared" si="6"/>
        <v>2007-05-19</v>
      </c>
    </row>
    <row r="31" spans="2:9" x14ac:dyDescent="0.3">
      <c r="B31" s="15">
        <v>20080419</v>
      </c>
      <c r="C31" s="14" t="str">
        <f t="shared" si="6"/>
        <v>2008-04-19</v>
      </c>
    </row>
    <row r="32" spans="2:9" x14ac:dyDescent="0.3">
      <c r="B32" s="15">
        <v>20071017</v>
      </c>
      <c r="C32" s="14" t="str">
        <f t="shared" si="6"/>
        <v>2007-10-17</v>
      </c>
    </row>
    <row r="33" spans="2:3" x14ac:dyDescent="0.3">
      <c r="B33" s="16">
        <v>20051220</v>
      </c>
      <c r="C33" s="14" t="str">
        <f t="shared" si="6"/>
        <v>2005-12-20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8434-9957-42CC-8A2E-A2F2F42ABCCE}">
  <dimension ref="A1:L27"/>
  <sheetViews>
    <sheetView tabSelected="1" zoomScale="99" workbookViewId="0">
      <selection activeCell="B13" sqref="B13"/>
    </sheetView>
  </sheetViews>
  <sheetFormatPr defaultRowHeight="13.2" x14ac:dyDescent="0.25"/>
  <cols>
    <col min="1" max="1" width="12.88671875" style="17" bestFit="1" customWidth="1"/>
    <col min="2" max="2" width="11.6640625" style="17" customWidth="1"/>
    <col min="3" max="3" width="10.44140625" style="17" customWidth="1"/>
    <col min="4" max="4" width="12.44140625" style="17" customWidth="1"/>
    <col min="5" max="5" width="8.88671875" style="17"/>
    <col min="6" max="6" width="12.5546875" style="17" bestFit="1" customWidth="1"/>
    <col min="7" max="7" width="8.88671875" style="17"/>
    <col min="8" max="8" width="43" style="17" customWidth="1"/>
    <col min="9" max="11" width="8.88671875" style="17"/>
    <col min="12" max="12" width="12.5546875" style="17" bestFit="1" customWidth="1"/>
    <col min="13" max="14" width="8.88671875" style="17"/>
    <col min="15" max="15" width="43.33203125" style="17" customWidth="1"/>
    <col min="16" max="18" width="8.88671875" style="17"/>
    <col min="19" max="19" width="12.33203125" style="17" bestFit="1" customWidth="1"/>
    <col min="20" max="256" width="8.88671875" style="17"/>
    <col min="257" max="257" width="12.88671875" style="17" bestFit="1" customWidth="1"/>
    <col min="258" max="258" width="11.6640625" style="17" customWidth="1"/>
    <col min="259" max="259" width="10.44140625" style="17" customWidth="1"/>
    <col min="260" max="260" width="12.44140625" style="17" customWidth="1"/>
    <col min="261" max="261" width="8.88671875" style="17"/>
    <col min="262" max="262" width="10.109375" style="17" customWidth="1"/>
    <col min="263" max="263" width="8.88671875" style="17"/>
    <col min="264" max="264" width="9.6640625" style="17" bestFit="1" customWidth="1"/>
    <col min="265" max="512" width="8.88671875" style="17"/>
    <col min="513" max="513" width="12.88671875" style="17" bestFit="1" customWidth="1"/>
    <col min="514" max="514" width="11.6640625" style="17" customWidth="1"/>
    <col min="515" max="515" width="10.44140625" style="17" customWidth="1"/>
    <col min="516" max="516" width="12.44140625" style="17" customWidth="1"/>
    <col min="517" max="517" width="8.88671875" style="17"/>
    <col min="518" max="518" width="10.109375" style="17" customWidth="1"/>
    <col min="519" max="519" width="8.88671875" style="17"/>
    <col min="520" max="520" width="9.6640625" style="17" bestFit="1" customWidth="1"/>
    <col min="521" max="768" width="8.88671875" style="17"/>
    <col min="769" max="769" width="12.88671875" style="17" bestFit="1" customWidth="1"/>
    <col min="770" max="770" width="11.6640625" style="17" customWidth="1"/>
    <col min="771" max="771" width="10.44140625" style="17" customWidth="1"/>
    <col min="772" max="772" width="12.44140625" style="17" customWidth="1"/>
    <col min="773" max="773" width="8.88671875" style="17"/>
    <col min="774" max="774" width="10.109375" style="17" customWidth="1"/>
    <col min="775" max="775" width="8.88671875" style="17"/>
    <col min="776" max="776" width="9.6640625" style="17" bestFit="1" customWidth="1"/>
    <col min="777" max="1024" width="8.88671875" style="17"/>
    <col min="1025" max="1025" width="12.88671875" style="17" bestFit="1" customWidth="1"/>
    <col min="1026" max="1026" width="11.6640625" style="17" customWidth="1"/>
    <col min="1027" max="1027" width="10.44140625" style="17" customWidth="1"/>
    <col min="1028" max="1028" width="12.44140625" style="17" customWidth="1"/>
    <col min="1029" max="1029" width="8.88671875" style="17"/>
    <col min="1030" max="1030" width="10.109375" style="17" customWidth="1"/>
    <col min="1031" max="1031" width="8.88671875" style="17"/>
    <col min="1032" max="1032" width="9.6640625" style="17" bestFit="1" customWidth="1"/>
    <col min="1033" max="1280" width="8.88671875" style="17"/>
    <col min="1281" max="1281" width="12.88671875" style="17" bestFit="1" customWidth="1"/>
    <col min="1282" max="1282" width="11.6640625" style="17" customWidth="1"/>
    <col min="1283" max="1283" width="10.44140625" style="17" customWidth="1"/>
    <col min="1284" max="1284" width="12.44140625" style="17" customWidth="1"/>
    <col min="1285" max="1285" width="8.88671875" style="17"/>
    <col min="1286" max="1286" width="10.109375" style="17" customWidth="1"/>
    <col min="1287" max="1287" width="8.88671875" style="17"/>
    <col min="1288" max="1288" width="9.6640625" style="17" bestFit="1" customWidth="1"/>
    <col min="1289" max="1536" width="8.88671875" style="17"/>
    <col min="1537" max="1537" width="12.88671875" style="17" bestFit="1" customWidth="1"/>
    <col min="1538" max="1538" width="11.6640625" style="17" customWidth="1"/>
    <col min="1539" max="1539" width="10.44140625" style="17" customWidth="1"/>
    <col min="1540" max="1540" width="12.44140625" style="17" customWidth="1"/>
    <col min="1541" max="1541" width="8.88671875" style="17"/>
    <col min="1542" max="1542" width="10.109375" style="17" customWidth="1"/>
    <col min="1543" max="1543" width="8.88671875" style="17"/>
    <col min="1544" max="1544" width="9.6640625" style="17" bestFit="1" customWidth="1"/>
    <col min="1545" max="1792" width="8.88671875" style="17"/>
    <col min="1793" max="1793" width="12.88671875" style="17" bestFit="1" customWidth="1"/>
    <col min="1794" max="1794" width="11.6640625" style="17" customWidth="1"/>
    <col min="1795" max="1795" width="10.44140625" style="17" customWidth="1"/>
    <col min="1796" max="1796" width="12.44140625" style="17" customWidth="1"/>
    <col min="1797" max="1797" width="8.88671875" style="17"/>
    <col min="1798" max="1798" width="10.109375" style="17" customWidth="1"/>
    <col min="1799" max="1799" width="8.88671875" style="17"/>
    <col min="1800" max="1800" width="9.6640625" style="17" bestFit="1" customWidth="1"/>
    <col min="1801" max="2048" width="8.88671875" style="17"/>
    <col min="2049" max="2049" width="12.88671875" style="17" bestFit="1" customWidth="1"/>
    <col min="2050" max="2050" width="11.6640625" style="17" customWidth="1"/>
    <col min="2051" max="2051" width="10.44140625" style="17" customWidth="1"/>
    <col min="2052" max="2052" width="12.44140625" style="17" customWidth="1"/>
    <col min="2053" max="2053" width="8.88671875" style="17"/>
    <col min="2054" max="2054" width="10.109375" style="17" customWidth="1"/>
    <col min="2055" max="2055" width="8.88671875" style="17"/>
    <col min="2056" max="2056" width="9.6640625" style="17" bestFit="1" customWidth="1"/>
    <col min="2057" max="2304" width="8.88671875" style="17"/>
    <col min="2305" max="2305" width="12.88671875" style="17" bestFit="1" customWidth="1"/>
    <col min="2306" max="2306" width="11.6640625" style="17" customWidth="1"/>
    <col min="2307" max="2307" width="10.44140625" style="17" customWidth="1"/>
    <col min="2308" max="2308" width="12.44140625" style="17" customWidth="1"/>
    <col min="2309" max="2309" width="8.88671875" style="17"/>
    <col min="2310" max="2310" width="10.109375" style="17" customWidth="1"/>
    <col min="2311" max="2311" width="8.88671875" style="17"/>
    <col min="2312" max="2312" width="9.6640625" style="17" bestFit="1" customWidth="1"/>
    <col min="2313" max="2560" width="8.88671875" style="17"/>
    <col min="2561" max="2561" width="12.88671875" style="17" bestFit="1" customWidth="1"/>
    <col min="2562" max="2562" width="11.6640625" style="17" customWidth="1"/>
    <col min="2563" max="2563" width="10.44140625" style="17" customWidth="1"/>
    <col min="2564" max="2564" width="12.44140625" style="17" customWidth="1"/>
    <col min="2565" max="2565" width="8.88671875" style="17"/>
    <col min="2566" max="2566" width="10.109375" style="17" customWidth="1"/>
    <col min="2567" max="2567" width="8.88671875" style="17"/>
    <col min="2568" max="2568" width="9.6640625" style="17" bestFit="1" customWidth="1"/>
    <col min="2569" max="2816" width="8.88671875" style="17"/>
    <col min="2817" max="2817" width="12.88671875" style="17" bestFit="1" customWidth="1"/>
    <col min="2818" max="2818" width="11.6640625" style="17" customWidth="1"/>
    <col min="2819" max="2819" width="10.44140625" style="17" customWidth="1"/>
    <col min="2820" max="2820" width="12.44140625" style="17" customWidth="1"/>
    <col min="2821" max="2821" width="8.88671875" style="17"/>
    <col min="2822" max="2822" width="10.109375" style="17" customWidth="1"/>
    <col min="2823" max="2823" width="8.88671875" style="17"/>
    <col min="2824" max="2824" width="9.6640625" style="17" bestFit="1" customWidth="1"/>
    <col min="2825" max="3072" width="8.88671875" style="17"/>
    <col min="3073" max="3073" width="12.88671875" style="17" bestFit="1" customWidth="1"/>
    <col min="3074" max="3074" width="11.6640625" style="17" customWidth="1"/>
    <col min="3075" max="3075" width="10.44140625" style="17" customWidth="1"/>
    <col min="3076" max="3076" width="12.44140625" style="17" customWidth="1"/>
    <col min="3077" max="3077" width="8.88671875" style="17"/>
    <col min="3078" max="3078" width="10.109375" style="17" customWidth="1"/>
    <col min="3079" max="3079" width="8.88671875" style="17"/>
    <col min="3080" max="3080" width="9.6640625" style="17" bestFit="1" customWidth="1"/>
    <col min="3081" max="3328" width="8.88671875" style="17"/>
    <col min="3329" max="3329" width="12.88671875" style="17" bestFit="1" customWidth="1"/>
    <col min="3330" max="3330" width="11.6640625" style="17" customWidth="1"/>
    <col min="3331" max="3331" width="10.44140625" style="17" customWidth="1"/>
    <col min="3332" max="3332" width="12.44140625" style="17" customWidth="1"/>
    <col min="3333" max="3333" width="8.88671875" style="17"/>
    <col min="3334" max="3334" width="10.109375" style="17" customWidth="1"/>
    <col min="3335" max="3335" width="8.88671875" style="17"/>
    <col min="3336" max="3336" width="9.6640625" style="17" bestFit="1" customWidth="1"/>
    <col min="3337" max="3584" width="8.88671875" style="17"/>
    <col min="3585" max="3585" width="12.88671875" style="17" bestFit="1" customWidth="1"/>
    <col min="3586" max="3586" width="11.6640625" style="17" customWidth="1"/>
    <col min="3587" max="3587" width="10.44140625" style="17" customWidth="1"/>
    <col min="3588" max="3588" width="12.44140625" style="17" customWidth="1"/>
    <col min="3589" max="3589" width="8.88671875" style="17"/>
    <col min="3590" max="3590" width="10.109375" style="17" customWidth="1"/>
    <col min="3591" max="3591" width="8.88671875" style="17"/>
    <col min="3592" max="3592" width="9.6640625" style="17" bestFit="1" customWidth="1"/>
    <col min="3593" max="3840" width="8.88671875" style="17"/>
    <col min="3841" max="3841" width="12.88671875" style="17" bestFit="1" customWidth="1"/>
    <col min="3842" max="3842" width="11.6640625" style="17" customWidth="1"/>
    <col min="3843" max="3843" width="10.44140625" style="17" customWidth="1"/>
    <col min="3844" max="3844" width="12.44140625" style="17" customWidth="1"/>
    <col min="3845" max="3845" width="8.88671875" style="17"/>
    <col min="3846" max="3846" width="10.109375" style="17" customWidth="1"/>
    <col min="3847" max="3847" width="8.88671875" style="17"/>
    <col min="3848" max="3848" width="9.6640625" style="17" bestFit="1" customWidth="1"/>
    <col min="3849" max="4096" width="8.88671875" style="17"/>
    <col min="4097" max="4097" width="12.88671875" style="17" bestFit="1" customWidth="1"/>
    <col min="4098" max="4098" width="11.6640625" style="17" customWidth="1"/>
    <col min="4099" max="4099" width="10.44140625" style="17" customWidth="1"/>
    <col min="4100" max="4100" width="12.44140625" style="17" customWidth="1"/>
    <col min="4101" max="4101" width="8.88671875" style="17"/>
    <col min="4102" max="4102" width="10.109375" style="17" customWidth="1"/>
    <col min="4103" max="4103" width="8.88671875" style="17"/>
    <col min="4104" max="4104" width="9.6640625" style="17" bestFit="1" customWidth="1"/>
    <col min="4105" max="4352" width="8.88671875" style="17"/>
    <col min="4353" max="4353" width="12.88671875" style="17" bestFit="1" customWidth="1"/>
    <col min="4354" max="4354" width="11.6640625" style="17" customWidth="1"/>
    <col min="4355" max="4355" width="10.44140625" style="17" customWidth="1"/>
    <col min="4356" max="4356" width="12.44140625" style="17" customWidth="1"/>
    <col min="4357" max="4357" width="8.88671875" style="17"/>
    <col min="4358" max="4358" width="10.109375" style="17" customWidth="1"/>
    <col min="4359" max="4359" width="8.88671875" style="17"/>
    <col min="4360" max="4360" width="9.6640625" style="17" bestFit="1" customWidth="1"/>
    <col min="4361" max="4608" width="8.88671875" style="17"/>
    <col min="4609" max="4609" width="12.88671875" style="17" bestFit="1" customWidth="1"/>
    <col min="4610" max="4610" width="11.6640625" style="17" customWidth="1"/>
    <col min="4611" max="4611" width="10.44140625" style="17" customWidth="1"/>
    <col min="4612" max="4612" width="12.44140625" style="17" customWidth="1"/>
    <col min="4613" max="4613" width="8.88671875" style="17"/>
    <col min="4614" max="4614" width="10.109375" style="17" customWidth="1"/>
    <col min="4615" max="4615" width="8.88671875" style="17"/>
    <col min="4616" max="4616" width="9.6640625" style="17" bestFit="1" customWidth="1"/>
    <col min="4617" max="4864" width="8.88671875" style="17"/>
    <col min="4865" max="4865" width="12.88671875" style="17" bestFit="1" customWidth="1"/>
    <col min="4866" max="4866" width="11.6640625" style="17" customWidth="1"/>
    <col min="4867" max="4867" width="10.44140625" style="17" customWidth="1"/>
    <col min="4868" max="4868" width="12.44140625" style="17" customWidth="1"/>
    <col min="4869" max="4869" width="8.88671875" style="17"/>
    <col min="4870" max="4870" width="10.109375" style="17" customWidth="1"/>
    <col min="4871" max="4871" width="8.88671875" style="17"/>
    <col min="4872" max="4872" width="9.6640625" style="17" bestFit="1" customWidth="1"/>
    <col min="4873" max="5120" width="8.88671875" style="17"/>
    <col min="5121" max="5121" width="12.88671875" style="17" bestFit="1" customWidth="1"/>
    <col min="5122" max="5122" width="11.6640625" style="17" customWidth="1"/>
    <col min="5123" max="5123" width="10.44140625" style="17" customWidth="1"/>
    <col min="5124" max="5124" width="12.44140625" style="17" customWidth="1"/>
    <col min="5125" max="5125" width="8.88671875" style="17"/>
    <col min="5126" max="5126" width="10.109375" style="17" customWidth="1"/>
    <col min="5127" max="5127" width="8.88671875" style="17"/>
    <col min="5128" max="5128" width="9.6640625" style="17" bestFit="1" customWidth="1"/>
    <col min="5129" max="5376" width="8.88671875" style="17"/>
    <col min="5377" max="5377" width="12.88671875" style="17" bestFit="1" customWidth="1"/>
    <col min="5378" max="5378" width="11.6640625" style="17" customWidth="1"/>
    <col min="5379" max="5379" width="10.44140625" style="17" customWidth="1"/>
    <col min="5380" max="5380" width="12.44140625" style="17" customWidth="1"/>
    <col min="5381" max="5381" width="8.88671875" style="17"/>
    <col min="5382" max="5382" width="10.109375" style="17" customWidth="1"/>
    <col min="5383" max="5383" width="8.88671875" style="17"/>
    <col min="5384" max="5384" width="9.6640625" style="17" bestFit="1" customWidth="1"/>
    <col min="5385" max="5632" width="8.88671875" style="17"/>
    <col min="5633" max="5633" width="12.88671875" style="17" bestFit="1" customWidth="1"/>
    <col min="5634" max="5634" width="11.6640625" style="17" customWidth="1"/>
    <col min="5635" max="5635" width="10.44140625" style="17" customWidth="1"/>
    <col min="5636" max="5636" width="12.44140625" style="17" customWidth="1"/>
    <col min="5637" max="5637" width="8.88671875" style="17"/>
    <col min="5638" max="5638" width="10.109375" style="17" customWidth="1"/>
    <col min="5639" max="5639" width="8.88671875" style="17"/>
    <col min="5640" max="5640" width="9.6640625" style="17" bestFit="1" customWidth="1"/>
    <col min="5641" max="5888" width="8.88671875" style="17"/>
    <col min="5889" max="5889" width="12.88671875" style="17" bestFit="1" customWidth="1"/>
    <col min="5890" max="5890" width="11.6640625" style="17" customWidth="1"/>
    <col min="5891" max="5891" width="10.44140625" style="17" customWidth="1"/>
    <col min="5892" max="5892" width="12.44140625" style="17" customWidth="1"/>
    <col min="5893" max="5893" width="8.88671875" style="17"/>
    <col min="5894" max="5894" width="10.109375" style="17" customWidth="1"/>
    <col min="5895" max="5895" width="8.88671875" style="17"/>
    <col min="5896" max="5896" width="9.6640625" style="17" bestFit="1" customWidth="1"/>
    <col min="5897" max="6144" width="8.88671875" style="17"/>
    <col min="6145" max="6145" width="12.88671875" style="17" bestFit="1" customWidth="1"/>
    <col min="6146" max="6146" width="11.6640625" style="17" customWidth="1"/>
    <col min="6147" max="6147" width="10.44140625" style="17" customWidth="1"/>
    <col min="6148" max="6148" width="12.44140625" style="17" customWidth="1"/>
    <col min="6149" max="6149" width="8.88671875" style="17"/>
    <col min="6150" max="6150" width="10.109375" style="17" customWidth="1"/>
    <col min="6151" max="6151" width="8.88671875" style="17"/>
    <col min="6152" max="6152" width="9.6640625" style="17" bestFit="1" customWidth="1"/>
    <col min="6153" max="6400" width="8.88671875" style="17"/>
    <col min="6401" max="6401" width="12.88671875" style="17" bestFit="1" customWidth="1"/>
    <col min="6402" max="6402" width="11.6640625" style="17" customWidth="1"/>
    <col min="6403" max="6403" width="10.44140625" style="17" customWidth="1"/>
    <col min="6404" max="6404" width="12.44140625" style="17" customWidth="1"/>
    <col min="6405" max="6405" width="8.88671875" style="17"/>
    <col min="6406" max="6406" width="10.109375" style="17" customWidth="1"/>
    <col min="6407" max="6407" width="8.88671875" style="17"/>
    <col min="6408" max="6408" width="9.6640625" style="17" bestFit="1" customWidth="1"/>
    <col min="6409" max="6656" width="8.88671875" style="17"/>
    <col min="6657" max="6657" width="12.88671875" style="17" bestFit="1" customWidth="1"/>
    <col min="6658" max="6658" width="11.6640625" style="17" customWidth="1"/>
    <col min="6659" max="6659" width="10.44140625" style="17" customWidth="1"/>
    <col min="6660" max="6660" width="12.44140625" style="17" customWidth="1"/>
    <col min="6661" max="6661" width="8.88671875" style="17"/>
    <col min="6662" max="6662" width="10.109375" style="17" customWidth="1"/>
    <col min="6663" max="6663" width="8.88671875" style="17"/>
    <col min="6664" max="6664" width="9.6640625" style="17" bestFit="1" customWidth="1"/>
    <col min="6665" max="6912" width="8.88671875" style="17"/>
    <col min="6913" max="6913" width="12.88671875" style="17" bestFit="1" customWidth="1"/>
    <col min="6914" max="6914" width="11.6640625" style="17" customWidth="1"/>
    <col min="6915" max="6915" width="10.44140625" style="17" customWidth="1"/>
    <col min="6916" max="6916" width="12.44140625" style="17" customWidth="1"/>
    <col min="6917" max="6917" width="8.88671875" style="17"/>
    <col min="6918" max="6918" width="10.109375" style="17" customWidth="1"/>
    <col min="6919" max="6919" width="8.88671875" style="17"/>
    <col min="6920" max="6920" width="9.6640625" style="17" bestFit="1" customWidth="1"/>
    <col min="6921" max="7168" width="8.88671875" style="17"/>
    <col min="7169" max="7169" width="12.88671875" style="17" bestFit="1" customWidth="1"/>
    <col min="7170" max="7170" width="11.6640625" style="17" customWidth="1"/>
    <col min="7171" max="7171" width="10.44140625" style="17" customWidth="1"/>
    <col min="7172" max="7172" width="12.44140625" style="17" customWidth="1"/>
    <col min="7173" max="7173" width="8.88671875" style="17"/>
    <col min="7174" max="7174" width="10.109375" style="17" customWidth="1"/>
    <col min="7175" max="7175" width="8.88671875" style="17"/>
    <col min="7176" max="7176" width="9.6640625" style="17" bestFit="1" customWidth="1"/>
    <col min="7177" max="7424" width="8.88671875" style="17"/>
    <col min="7425" max="7425" width="12.88671875" style="17" bestFit="1" customWidth="1"/>
    <col min="7426" max="7426" width="11.6640625" style="17" customWidth="1"/>
    <col min="7427" max="7427" width="10.44140625" style="17" customWidth="1"/>
    <col min="7428" max="7428" width="12.44140625" style="17" customWidth="1"/>
    <col min="7429" max="7429" width="8.88671875" style="17"/>
    <col min="7430" max="7430" width="10.109375" style="17" customWidth="1"/>
    <col min="7431" max="7431" width="8.88671875" style="17"/>
    <col min="7432" max="7432" width="9.6640625" style="17" bestFit="1" customWidth="1"/>
    <col min="7433" max="7680" width="8.88671875" style="17"/>
    <col min="7681" max="7681" width="12.88671875" style="17" bestFit="1" customWidth="1"/>
    <col min="7682" max="7682" width="11.6640625" style="17" customWidth="1"/>
    <col min="7683" max="7683" width="10.44140625" style="17" customWidth="1"/>
    <col min="7684" max="7684" width="12.44140625" style="17" customWidth="1"/>
    <col min="7685" max="7685" width="8.88671875" style="17"/>
    <col min="7686" max="7686" width="10.109375" style="17" customWidth="1"/>
    <col min="7687" max="7687" width="8.88671875" style="17"/>
    <col min="7688" max="7688" width="9.6640625" style="17" bestFit="1" customWidth="1"/>
    <col min="7689" max="7936" width="8.88671875" style="17"/>
    <col min="7937" max="7937" width="12.88671875" style="17" bestFit="1" customWidth="1"/>
    <col min="7938" max="7938" width="11.6640625" style="17" customWidth="1"/>
    <col min="7939" max="7939" width="10.44140625" style="17" customWidth="1"/>
    <col min="7940" max="7940" width="12.44140625" style="17" customWidth="1"/>
    <col min="7941" max="7941" width="8.88671875" style="17"/>
    <col min="7942" max="7942" width="10.109375" style="17" customWidth="1"/>
    <col min="7943" max="7943" width="8.88671875" style="17"/>
    <col min="7944" max="7944" width="9.6640625" style="17" bestFit="1" customWidth="1"/>
    <col min="7945" max="8192" width="8.88671875" style="17"/>
    <col min="8193" max="8193" width="12.88671875" style="17" bestFit="1" customWidth="1"/>
    <col min="8194" max="8194" width="11.6640625" style="17" customWidth="1"/>
    <col min="8195" max="8195" width="10.44140625" style="17" customWidth="1"/>
    <col min="8196" max="8196" width="12.44140625" style="17" customWidth="1"/>
    <col min="8197" max="8197" width="8.88671875" style="17"/>
    <col min="8198" max="8198" width="10.109375" style="17" customWidth="1"/>
    <col min="8199" max="8199" width="8.88671875" style="17"/>
    <col min="8200" max="8200" width="9.6640625" style="17" bestFit="1" customWidth="1"/>
    <col min="8201" max="8448" width="8.88671875" style="17"/>
    <col min="8449" max="8449" width="12.88671875" style="17" bestFit="1" customWidth="1"/>
    <col min="8450" max="8450" width="11.6640625" style="17" customWidth="1"/>
    <col min="8451" max="8451" width="10.44140625" style="17" customWidth="1"/>
    <col min="8452" max="8452" width="12.44140625" style="17" customWidth="1"/>
    <col min="8453" max="8453" width="8.88671875" style="17"/>
    <col min="8454" max="8454" width="10.109375" style="17" customWidth="1"/>
    <col min="8455" max="8455" width="8.88671875" style="17"/>
    <col min="8456" max="8456" width="9.6640625" style="17" bestFit="1" customWidth="1"/>
    <col min="8457" max="8704" width="8.88671875" style="17"/>
    <col min="8705" max="8705" width="12.88671875" style="17" bestFit="1" customWidth="1"/>
    <col min="8706" max="8706" width="11.6640625" style="17" customWidth="1"/>
    <col min="8707" max="8707" width="10.44140625" style="17" customWidth="1"/>
    <col min="8708" max="8708" width="12.44140625" style="17" customWidth="1"/>
    <col min="8709" max="8709" width="8.88671875" style="17"/>
    <col min="8710" max="8710" width="10.109375" style="17" customWidth="1"/>
    <col min="8711" max="8711" width="8.88671875" style="17"/>
    <col min="8712" max="8712" width="9.6640625" style="17" bestFit="1" customWidth="1"/>
    <col min="8713" max="8960" width="8.88671875" style="17"/>
    <col min="8961" max="8961" width="12.88671875" style="17" bestFit="1" customWidth="1"/>
    <col min="8962" max="8962" width="11.6640625" style="17" customWidth="1"/>
    <col min="8963" max="8963" width="10.44140625" style="17" customWidth="1"/>
    <col min="8964" max="8964" width="12.44140625" style="17" customWidth="1"/>
    <col min="8965" max="8965" width="8.88671875" style="17"/>
    <col min="8966" max="8966" width="10.109375" style="17" customWidth="1"/>
    <col min="8967" max="8967" width="8.88671875" style="17"/>
    <col min="8968" max="8968" width="9.6640625" style="17" bestFit="1" customWidth="1"/>
    <col min="8969" max="9216" width="8.88671875" style="17"/>
    <col min="9217" max="9217" width="12.88671875" style="17" bestFit="1" customWidth="1"/>
    <col min="9218" max="9218" width="11.6640625" style="17" customWidth="1"/>
    <col min="9219" max="9219" width="10.44140625" style="17" customWidth="1"/>
    <col min="9220" max="9220" width="12.44140625" style="17" customWidth="1"/>
    <col min="9221" max="9221" width="8.88671875" style="17"/>
    <col min="9222" max="9222" width="10.109375" style="17" customWidth="1"/>
    <col min="9223" max="9223" width="8.88671875" style="17"/>
    <col min="9224" max="9224" width="9.6640625" style="17" bestFit="1" customWidth="1"/>
    <col min="9225" max="9472" width="8.88671875" style="17"/>
    <col min="9473" max="9473" width="12.88671875" style="17" bestFit="1" customWidth="1"/>
    <col min="9474" max="9474" width="11.6640625" style="17" customWidth="1"/>
    <col min="9475" max="9475" width="10.44140625" style="17" customWidth="1"/>
    <col min="9476" max="9476" width="12.44140625" style="17" customWidth="1"/>
    <col min="9477" max="9477" width="8.88671875" style="17"/>
    <col min="9478" max="9478" width="10.109375" style="17" customWidth="1"/>
    <col min="9479" max="9479" width="8.88671875" style="17"/>
    <col min="9480" max="9480" width="9.6640625" style="17" bestFit="1" customWidth="1"/>
    <col min="9481" max="9728" width="8.88671875" style="17"/>
    <col min="9729" max="9729" width="12.88671875" style="17" bestFit="1" customWidth="1"/>
    <col min="9730" max="9730" width="11.6640625" style="17" customWidth="1"/>
    <col min="9731" max="9731" width="10.44140625" style="17" customWidth="1"/>
    <col min="9732" max="9732" width="12.44140625" style="17" customWidth="1"/>
    <col min="9733" max="9733" width="8.88671875" style="17"/>
    <col min="9734" max="9734" width="10.109375" style="17" customWidth="1"/>
    <col min="9735" max="9735" width="8.88671875" style="17"/>
    <col min="9736" max="9736" width="9.6640625" style="17" bestFit="1" customWidth="1"/>
    <col min="9737" max="9984" width="8.88671875" style="17"/>
    <col min="9985" max="9985" width="12.88671875" style="17" bestFit="1" customWidth="1"/>
    <col min="9986" max="9986" width="11.6640625" style="17" customWidth="1"/>
    <col min="9987" max="9987" width="10.44140625" style="17" customWidth="1"/>
    <col min="9988" max="9988" width="12.44140625" style="17" customWidth="1"/>
    <col min="9989" max="9989" width="8.88671875" style="17"/>
    <col min="9990" max="9990" width="10.109375" style="17" customWidth="1"/>
    <col min="9991" max="9991" width="8.88671875" style="17"/>
    <col min="9992" max="9992" width="9.6640625" style="17" bestFit="1" customWidth="1"/>
    <col min="9993" max="10240" width="8.88671875" style="17"/>
    <col min="10241" max="10241" width="12.88671875" style="17" bestFit="1" customWidth="1"/>
    <col min="10242" max="10242" width="11.6640625" style="17" customWidth="1"/>
    <col min="10243" max="10243" width="10.44140625" style="17" customWidth="1"/>
    <col min="10244" max="10244" width="12.44140625" style="17" customWidth="1"/>
    <col min="10245" max="10245" width="8.88671875" style="17"/>
    <col min="10246" max="10246" width="10.109375" style="17" customWidth="1"/>
    <col min="10247" max="10247" width="8.88671875" style="17"/>
    <col min="10248" max="10248" width="9.6640625" style="17" bestFit="1" customWidth="1"/>
    <col min="10249" max="10496" width="8.88671875" style="17"/>
    <col min="10497" max="10497" width="12.88671875" style="17" bestFit="1" customWidth="1"/>
    <col min="10498" max="10498" width="11.6640625" style="17" customWidth="1"/>
    <col min="10499" max="10499" width="10.44140625" style="17" customWidth="1"/>
    <col min="10500" max="10500" width="12.44140625" style="17" customWidth="1"/>
    <col min="10501" max="10501" width="8.88671875" style="17"/>
    <col min="10502" max="10502" width="10.109375" style="17" customWidth="1"/>
    <col min="10503" max="10503" width="8.88671875" style="17"/>
    <col min="10504" max="10504" width="9.6640625" style="17" bestFit="1" customWidth="1"/>
    <col min="10505" max="10752" width="8.88671875" style="17"/>
    <col min="10753" max="10753" width="12.88671875" style="17" bestFit="1" customWidth="1"/>
    <col min="10754" max="10754" width="11.6640625" style="17" customWidth="1"/>
    <col min="10755" max="10755" width="10.44140625" style="17" customWidth="1"/>
    <col min="10756" max="10756" width="12.44140625" style="17" customWidth="1"/>
    <col min="10757" max="10757" width="8.88671875" style="17"/>
    <col min="10758" max="10758" width="10.109375" style="17" customWidth="1"/>
    <col min="10759" max="10759" width="8.88671875" style="17"/>
    <col min="10760" max="10760" width="9.6640625" style="17" bestFit="1" customWidth="1"/>
    <col min="10761" max="11008" width="8.88671875" style="17"/>
    <col min="11009" max="11009" width="12.88671875" style="17" bestFit="1" customWidth="1"/>
    <col min="11010" max="11010" width="11.6640625" style="17" customWidth="1"/>
    <col min="11011" max="11011" width="10.44140625" style="17" customWidth="1"/>
    <col min="11012" max="11012" width="12.44140625" style="17" customWidth="1"/>
    <col min="11013" max="11013" width="8.88671875" style="17"/>
    <col min="11014" max="11014" width="10.109375" style="17" customWidth="1"/>
    <col min="11015" max="11015" width="8.88671875" style="17"/>
    <col min="11016" max="11016" width="9.6640625" style="17" bestFit="1" customWidth="1"/>
    <col min="11017" max="11264" width="8.88671875" style="17"/>
    <col min="11265" max="11265" width="12.88671875" style="17" bestFit="1" customWidth="1"/>
    <col min="11266" max="11266" width="11.6640625" style="17" customWidth="1"/>
    <col min="11267" max="11267" width="10.44140625" style="17" customWidth="1"/>
    <col min="11268" max="11268" width="12.44140625" style="17" customWidth="1"/>
    <col min="11269" max="11269" width="8.88671875" style="17"/>
    <col min="11270" max="11270" width="10.109375" style="17" customWidth="1"/>
    <col min="11271" max="11271" width="8.88671875" style="17"/>
    <col min="11272" max="11272" width="9.6640625" style="17" bestFit="1" customWidth="1"/>
    <col min="11273" max="11520" width="8.88671875" style="17"/>
    <col min="11521" max="11521" width="12.88671875" style="17" bestFit="1" customWidth="1"/>
    <col min="11522" max="11522" width="11.6640625" style="17" customWidth="1"/>
    <col min="11523" max="11523" width="10.44140625" style="17" customWidth="1"/>
    <col min="11524" max="11524" width="12.44140625" style="17" customWidth="1"/>
    <col min="11525" max="11525" width="8.88671875" style="17"/>
    <col min="11526" max="11526" width="10.109375" style="17" customWidth="1"/>
    <col min="11527" max="11527" width="8.88671875" style="17"/>
    <col min="11528" max="11528" width="9.6640625" style="17" bestFit="1" customWidth="1"/>
    <col min="11529" max="11776" width="8.88671875" style="17"/>
    <col min="11777" max="11777" width="12.88671875" style="17" bestFit="1" customWidth="1"/>
    <col min="11778" max="11778" width="11.6640625" style="17" customWidth="1"/>
    <col min="11779" max="11779" width="10.44140625" style="17" customWidth="1"/>
    <col min="11780" max="11780" width="12.44140625" style="17" customWidth="1"/>
    <col min="11781" max="11781" width="8.88671875" style="17"/>
    <col min="11782" max="11782" width="10.109375" style="17" customWidth="1"/>
    <col min="11783" max="11783" width="8.88671875" style="17"/>
    <col min="11784" max="11784" width="9.6640625" style="17" bestFit="1" customWidth="1"/>
    <col min="11785" max="12032" width="8.88671875" style="17"/>
    <col min="12033" max="12033" width="12.88671875" style="17" bestFit="1" customWidth="1"/>
    <col min="12034" max="12034" width="11.6640625" style="17" customWidth="1"/>
    <col min="12035" max="12035" width="10.44140625" style="17" customWidth="1"/>
    <col min="12036" max="12036" width="12.44140625" style="17" customWidth="1"/>
    <col min="12037" max="12037" width="8.88671875" style="17"/>
    <col min="12038" max="12038" width="10.109375" style="17" customWidth="1"/>
    <col min="12039" max="12039" width="8.88671875" style="17"/>
    <col min="12040" max="12040" width="9.6640625" style="17" bestFit="1" customWidth="1"/>
    <col min="12041" max="12288" width="8.88671875" style="17"/>
    <col min="12289" max="12289" width="12.88671875" style="17" bestFit="1" customWidth="1"/>
    <col min="12290" max="12290" width="11.6640625" style="17" customWidth="1"/>
    <col min="12291" max="12291" width="10.44140625" style="17" customWidth="1"/>
    <col min="12292" max="12292" width="12.44140625" style="17" customWidth="1"/>
    <col min="12293" max="12293" width="8.88671875" style="17"/>
    <col min="12294" max="12294" width="10.109375" style="17" customWidth="1"/>
    <col min="12295" max="12295" width="8.88671875" style="17"/>
    <col min="12296" max="12296" width="9.6640625" style="17" bestFit="1" customWidth="1"/>
    <col min="12297" max="12544" width="8.88671875" style="17"/>
    <col min="12545" max="12545" width="12.88671875" style="17" bestFit="1" customWidth="1"/>
    <col min="12546" max="12546" width="11.6640625" style="17" customWidth="1"/>
    <col min="12547" max="12547" width="10.44140625" style="17" customWidth="1"/>
    <col min="12548" max="12548" width="12.44140625" style="17" customWidth="1"/>
    <col min="12549" max="12549" width="8.88671875" style="17"/>
    <col min="12550" max="12550" width="10.109375" style="17" customWidth="1"/>
    <col min="12551" max="12551" width="8.88671875" style="17"/>
    <col min="12552" max="12552" width="9.6640625" style="17" bestFit="1" customWidth="1"/>
    <col min="12553" max="12800" width="8.88671875" style="17"/>
    <col min="12801" max="12801" width="12.88671875" style="17" bestFit="1" customWidth="1"/>
    <col min="12802" max="12802" width="11.6640625" style="17" customWidth="1"/>
    <col min="12803" max="12803" width="10.44140625" style="17" customWidth="1"/>
    <col min="12804" max="12804" width="12.44140625" style="17" customWidth="1"/>
    <col min="12805" max="12805" width="8.88671875" style="17"/>
    <col min="12806" max="12806" width="10.109375" style="17" customWidth="1"/>
    <col min="12807" max="12807" width="8.88671875" style="17"/>
    <col min="12808" max="12808" width="9.6640625" style="17" bestFit="1" customWidth="1"/>
    <col min="12809" max="13056" width="8.88671875" style="17"/>
    <col min="13057" max="13057" width="12.88671875" style="17" bestFit="1" customWidth="1"/>
    <col min="13058" max="13058" width="11.6640625" style="17" customWidth="1"/>
    <col min="13059" max="13059" width="10.44140625" style="17" customWidth="1"/>
    <col min="13060" max="13060" width="12.44140625" style="17" customWidth="1"/>
    <col min="13061" max="13061" width="8.88671875" style="17"/>
    <col min="13062" max="13062" width="10.109375" style="17" customWidth="1"/>
    <col min="13063" max="13063" width="8.88671875" style="17"/>
    <col min="13064" max="13064" width="9.6640625" style="17" bestFit="1" customWidth="1"/>
    <col min="13065" max="13312" width="8.88671875" style="17"/>
    <col min="13313" max="13313" width="12.88671875" style="17" bestFit="1" customWidth="1"/>
    <col min="13314" max="13314" width="11.6640625" style="17" customWidth="1"/>
    <col min="13315" max="13315" width="10.44140625" style="17" customWidth="1"/>
    <col min="13316" max="13316" width="12.44140625" style="17" customWidth="1"/>
    <col min="13317" max="13317" width="8.88671875" style="17"/>
    <col min="13318" max="13318" width="10.109375" style="17" customWidth="1"/>
    <col min="13319" max="13319" width="8.88671875" style="17"/>
    <col min="13320" max="13320" width="9.6640625" style="17" bestFit="1" customWidth="1"/>
    <col min="13321" max="13568" width="8.88671875" style="17"/>
    <col min="13569" max="13569" width="12.88671875" style="17" bestFit="1" customWidth="1"/>
    <col min="13570" max="13570" width="11.6640625" style="17" customWidth="1"/>
    <col min="13571" max="13571" width="10.44140625" style="17" customWidth="1"/>
    <col min="13572" max="13572" width="12.44140625" style="17" customWidth="1"/>
    <col min="13573" max="13573" width="8.88671875" style="17"/>
    <col min="13574" max="13574" width="10.109375" style="17" customWidth="1"/>
    <col min="13575" max="13575" width="8.88671875" style="17"/>
    <col min="13576" max="13576" width="9.6640625" style="17" bestFit="1" customWidth="1"/>
    <col min="13577" max="13824" width="8.88671875" style="17"/>
    <col min="13825" max="13825" width="12.88671875" style="17" bestFit="1" customWidth="1"/>
    <col min="13826" max="13826" width="11.6640625" style="17" customWidth="1"/>
    <col min="13827" max="13827" width="10.44140625" style="17" customWidth="1"/>
    <col min="13828" max="13828" width="12.44140625" style="17" customWidth="1"/>
    <col min="13829" max="13829" width="8.88671875" style="17"/>
    <col min="13830" max="13830" width="10.109375" style="17" customWidth="1"/>
    <col min="13831" max="13831" width="8.88671875" style="17"/>
    <col min="13832" max="13832" width="9.6640625" style="17" bestFit="1" customWidth="1"/>
    <col min="13833" max="14080" width="8.88671875" style="17"/>
    <col min="14081" max="14081" width="12.88671875" style="17" bestFit="1" customWidth="1"/>
    <col min="14082" max="14082" width="11.6640625" style="17" customWidth="1"/>
    <col min="14083" max="14083" width="10.44140625" style="17" customWidth="1"/>
    <col min="14084" max="14084" width="12.44140625" style="17" customWidth="1"/>
    <col min="14085" max="14085" width="8.88671875" style="17"/>
    <col min="14086" max="14086" width="10.109375" style="17" customWidth="1"/>
    <col min="14087" max="14087" width="8.88671875" style="17"/>
    <col min="14088" max="14088" width="9.6640625" style="17" bestFit="1" customWidth="1"/>
    <col min="14089" max="14336" width="8.88671875" style="17"/>
    <col min="14337" max="14337" width="12.88671875" style="17" bestFit="1" customWidth="1"/>
    <col min="14338" max="14338" width="11.6640625" style="17" customWidth="1"/>
    <col min="14339" max="14339" width="10.44140625" style="17" customWidth="1"/>
    <col min="14340" max="14340" width="12.44140625" style="17" customWidth="1"/>
    <col min="14341" max="14341" width="8.88671875" style="17"/>
    <col min="14342" max="14342" width="10.109375" style="17" customWidth="1"/>
    <col min="14343" max="14343" width="8.88671875" style="17"/>
    <col min="14344" max="14344" width="9.6640625" style="17" bestFit="1" customWidth="1"/>
    <col min="14345" max="14592" width="8.88671875" style="17"/>
    <col min="14593" max="14593" width="12.88671875" style="17" bestFit="1" customWidth="1"/>
    <col min="14594" max="14594" width="11.6640625" style="17" customWidth="1"/>
    <col min="14595" max="14595" width="10.44140625" style="17" customWidth="1"/>
    <col min="14596" max="14596" width="12.44140625" style="17" customWidth="1"/>
    <col min="14597" max="14597" width="8.88671875" style="17"/>
    <col min="14598" max="14598" width="10.109375" style="17" customWidth="1"/>
    <col min="14599" max="14599" width="8.88671875" style="17"/>
    <col min="14600" max="14600" width="9.6640625" style="17" bestFit="1" customWidth="1"/>
    <col min="14601" max="14848" width="8.88671875" style="17"/>
    <col min="14849" max="14849" width="12.88671875" style="17" bestFit="1" customWidth="1"/>
    <col min="14850" max="14850" width="11.6640625" style="17" customWidth="1"/>
    <col min="14851" max="14851" width="10.44140625" style="17" customWidth="1"/>
    <col min="14852" max="14852" width="12.44140625" style="17" customWidth="1"/>
    <col min="14853" max="14853" width="8.88671875" style="17"/>
    <col min="14854" max="14854" width="10.109375" style="17" customWidth="1"/>
    <col min="14855" max="14855" width="8.88671875" style="17"/>
    <col min="14856" max="14856" width="9.6640625" style="17" bestFit="1" customWidth="1"/>
    <col min="14857" max="15104" width="8.88671875" style="17"/>
    <col min="15105" max="15105" width="12.88671875" style="17" bestFit="1" customWidth="1"/>
    <col min="15106" max="15106" width="11.6640625" style="17" customWidth="1"/>
    <col min="15107" max="15107" width="10.44140625" style="17" customWidth="1"/>
    <col min="15108" max="15108" width="12.44140625" style="17" customWidth="1"/>
    <col min="15109" max="15109" width="8.88671875" style="17"/>
    <col min="15110" max="15110" width="10.109375" style="17" customWidth="1"/>
    <col min="15111" max="15111" width="8.88671875" style="17"/>
    <col min="15112" max="15112" width="9.6640625" style="17" bestFit="1" customWidth="1"/>
    <col min="15113" max="15360" width="8.88671875" style="17"/>
    <col min="15361" max="15361" width="12.88671875" style="17" bestFit="1" customWidth="1"/>
    <col min="15362" max="15362" width="11.6640625" style="17" customWidth="1"/>
    <col min="15363" max="15363" width="10.44140625" style="17" customWidth="1"/>
    <col min="15364" max="15364" width="12.44140625" style="17" customWidth="1"/>
    <col min="15365" max="15365" width="8.88671875" style="17"/>
    <col min="15366" max="15366" width="10.109375" style="17" customWidth="1"/>
    <col min="15367" max="15367" width="8.88671875" style="17"/>
    <col min="15368" max="15368" width="9.6640625" style="17" bestFit="1" customWidth="1"/>
    <col min="15369" max="15616" width="8.88671875" style="17"/>
    <col min="15617" max="15617" width="12.88671875" style="17" bestFit="1" customWidth="1"/>
    <col min="15618" max="15618" width="11.6640625" style="17" customWidth="1"/>
    <col min="15619" max="15619" width="10.44140625" style="17" customWidth="1"/>
    <col min="15620" max="15620" width="12.44140625" style="17" customWidth="1"/>
    <col min="15621" max="15621" width="8.88671875" style="17"/>
    <col min="15622" max="15622" width="10.109375" style="17" customWidth="1"/>
    <col min="15623" max="15623" width="8.88671875" style="17"/>
    <col min="15624" max="15624" width="9.6640625" style="17" bestFit="1" customWidth="1"/>
    <col min="15625" max="15872" width="8.88671875" style="17"/>
    <col min="15873" max="15873" width="12.88671875" style="17" bestFit="1" customWidth="1"/>
    <col min="15874" max="15874" width="11.6640625" style="17" customWidth="1"/>
    <col min="15875" max="15875" width="10.44140625" style="17" customWidth="1"/>
    <col min="15876" max="15876" width="12.44140625" style="17" customWidth="1"/>
    <col min="15877" max="15877" width="8.88671875" style="17"/>
    <col min="15878" max="15878" width="10.109375" style="17" customWidth="1"/>
    <col min="15879" max="15879" width="8.88671875" style="17"/>
    <col min="15880" max="15880" width="9.6640625" style="17" bestFit="1" customWidth="1"/>
    <col min="15881" max="16128" width="8.88671875" style="17"/>
    <col min="16129" max="16129" width="12.88671875" style="17" bestFit="1" customWidth="1"/>
    <col min="16130" max="16130" width="11.6640625" style="17" customWidth="1"/>
    <col min="16131" max="16131" width="10.44140625" style="17" customWidth="1"/>
    <col min="16132" max="16132" width="12.44140625" style="17" customWidth="1"/>
    <col min="16133" max="16133" width="8.88671875" style="17"/>
    <col min="16134" max="16134" width="10.109375" style="17" customWidth="1"/>
    <col min="16135" max="16135" width="8.88671875" style="17"/>
    <col min="16136" max="16136" width="9.6640625" style="17" bestFit="1" customWidth="1"/>
    <col min="16137" max="16384" width="8.88671875" style="17"/>
  </cols>
  <sheetData>
    <row r="1" spans="1:12" ht="18" x14ac:dyDescent="0.35">
      <c r="A1" s="33" t="s">
        <v>84</v>
      </c>
      <c r="B1" s="33"/>
      <c r="C1" s="33"/>
      <c r="D1" s="33"/>
      <c r="E1" s="33"/>
      <c r="F1" s="33"/>
    </row>
    <row r="3" spans="1:12" ht="74.25" customHeight="1" x14ac:dyDescent="0.35">
      <c r="A3" s="18" t="s">
        <v>86</v>
      </c>
      <c r="B3" s="18" t="s">
        <v>74</v>
      </c>
      <c r="C3" s="18" t="s">
        <v>87</v>
      </c>
      <c r="D3" s="18" t="s">
        <v>88</v>
      </c>
      <c r="E3" s="18" t="s">
        <v>60</v>
      </c>
      <c r="F3" s="18" t="s">
        <v>89</v>
      </c>
      <c r="H3" s="28" t="s">
        <v>123</v>
      </c>
      <c r="I3" s="33" t="s">
        <v>85</v>
      </c>
      <c r="J3" s="33"/>
      <c r="K3" s="33"/>
      <c r="L3" s="33"/>
    </row>
    <row r="4" spans="1:12" ht="14.4" x14ac:dyDescent="0.3">
      <c r="A4" s="1">
        <v>1</v>
      </c>
      <c r="B4" s="20">
        <v>29221</v>
      </c>
      <c r="C4" s="1">
        <v>25000</v>
      </c>
      <c r="D4" s="1" t="s">
        <v>124</v>
      </c>
      <c r="E4" s="1" t="s">
        <v>6</v>
      </c>
      <c r="F4" s="1" t="s">
        <v>99</v>
      </c>
    </row>
    <row r="5" spans="1:12" ht="14.4" x14ac:dyDescent="0.3">
      <c r="A5" s="1">
        <v>234</v>
      </c>
      <c r="B5" s="20">
        <v>32630</v>
      </c>
      <c r="C5" s="1">
        <v>28000</v>
      </c>
      <c r="D5" s="1" t="s">
        <v>125</v>
      </c>
      <c r="E5" s="1" t="s">
        <v>90</v>
      </c>
      <c r="F5" s="1" t="s">
        <v>104</v>
      </c>
      <c r="I5" s="19" t="s">
        <v>6</v>
      </c>
      <c r="J5" s="19" t="s">
        <v>90</v>
      </c>
      <c r="K5" s="19" t="s">
        <v>36</v>
      </c>
      <c r="L5" s="19" t="s">
        <v>1</v>
      </c>
    </row>
    <row r="6" spans="1:12" ht="14.4" x14ac:dyDescent="0.3">
      <c r="A6" s="1">
        <v>564</v>
      </c>
      <c r="B6" s="20">
        <v>36892</v>
      </c>
      <c r="C6" s="1">
        <v>85000</v>
      </c>
      <c r="D6" s="1" t="s">
        <v>126</v>
      </c>
      <c r="E6" s="1" t="s">
        <v>90</v>
      </c>
      <c r="F6" s="1" t="s">
        <v>100</v>
      </c>
      <c r="I6" s="21" t="s">
        <v>91</v>
      </c>
      <c r="J6" s="22" t="s">
        <v>92</v>
      </c>
      <c r="K6" s="22" t="s">
        <v>93</v>
      </c>
      <c r="L6" s="22" t="s">
        <v>94</v>
      </c>
    </row>
    <row r="7" spans="1:12" ht="14.4" x14ac:dyDescent="0.3">
      <c r="A7" s="1">
        <v>896</v>
      </c>
      <c r="B7" s="20">
        <v>29230</v>
      </c>
      <c r="C7" s="1">
        <v>55000</v>
      </c>
      <c r="D7" s="1" t="s">
        <v>127</v>
      </c>
      <c r="E7" s="1" t="s">
        <v>36</v>
      </c>
      <c r="F7" s="1" t="s">
        <v>101</v>
      </c>
      <c r="I7" s="23" t="s">
        <v>95</v>
      </c>
      <c r="J7" s="24" t="s">
        <v>96</v>
      </c>
      <c r="K7" s="24" t="s">
        <v>97</v>
      </c>
      <c r="L7" s="24" t="s">
        <v>98</v>
      </c>
    </row>
    <row r="8" spans="1:12" ht="14.4" x14ac:dyDescent="0.3">
      <c r="A8" s="1">
        <v>1000</v>
      </c>
      <c r="B8" s="20">
        <v>29962</v>
      </c>
      <c r="C8" s="1"/>
      <c r="D8" s="1"/>
      <c r="E8" s="1" t="s">
        <v>90</v>
      </c>
      <c r="F8" s="1" t="s">
        <v>106</v>
      </c>
      <c r="I8" s="23" t="s">
        <v>99</v>
      </c>
      <c r="J8" s="24" t="s">
        <v>100</v>
      </c>
      <c r="K8" s="24" t="s">
        <v>101</v>
      </c>
      <c r="L8" s="24" t="s">
        <v>102</v>
      </c>
    </row>
    <row r="9" spans="1:12" ht="14.4" x14ac:dyDescent="0.3">
      <c r="A9" s="1">
        <v>1</v>
      </c>
      <c r="B9" s="20">
        <v>36537</v>
      </c>
      <c r="C9" s="1"/>
      <c r="D9" s="1"/>
      <c r="E9" s="1" t="s">
        <v>90</v>
      </c>
      <c r="F9" s="1" t="s">
        <v>100</v>
      </c>
      <c r="I9" s="23" t="s">
        <v>103</v>
      </c>
      <c r="J9" s="24" t="s">
        <v>104</v>
      </c>
      <c r="K9" s="24" t="s">
        <v>105</v>
      </c>
      <c r="L9" s="24" t="s">
        <v>106</v>
      </c>
    </row>
    <row r="10" spans="1:12" ht="14.4" x14ac:dyDescent="0.3">
      <c r="A10" s="1">
        <v>101</v>
      </c>
      <c r="B10" s="20">
        <v>31790</v>
      </c>
      <c r="C10" s="1"/>
      <c r="D10" s="1"/>
      <c r="E10" s="1" t="s">
        <v>36</v>
      </c>
      <c r="F10" s="1" t="s">
        <v>101</v>
      </c>
      <c r="I10" s="23" t="s">
        <v>107</v>
      </c>
      <c r="J10" s="24" t="s">
        <v>108</v>
      </c>
      <c r="K10" s="24" t="s">
        <v>109</v>
      </c>
      <c r="L10" s="24" t="s">
        <v>110</v>
      </c>
    </row>
    <row r="11" spans="1:12" ht="14.4" x14ac:dyDescent="0.3">
      <c r="A11" s="1">
        <v>989</v>
      </c>
      <c r="B11" s="20">
        <v>30695</v>
      </c>
      <c r="C11" s="1"/>
      <c r="D11" s="1"/>
      <c r="E11" s="1" t="s">
        <v>1</v>
      </c>
      <c r="F11" s="1" t="s">
        <v>102</v>
      </c>
      <c r="I11" s="25" t="s">
        <v>111</v>
      </c>
      <c r="J11" s="26" t="s">
        <v>112</v>
      </c>
      <c r="K11" s="26" t="s">
        <v>113</v>
      </c>
      <c r="L11" s="26" t="s">
        <v>114</v>
      </c>
    </row>
    <row r="12" spans="1:12" ht="14.4" x14ac:dyDescent="0.3">
      <c r="A12" s="1">
        <v>101</v>
      </c>
      <c r="B12" s="20"/>
      <c r="C12" s="1"/>
      <c r="D12" s="1"/>
      <c r="E12" s="1" t="s">
        <v>36</v>
      </c>
      <c r="F12" s="1" t="s">
        <v>105</v>
      </c>
    </row>
    <row r="13" spans="1:12" ht="14.4" x14ac:dyDescent="0.3">
      <c r="A13" s="1">
        <v>102</v>
      </c>
      <c r="B13" s="20"/>
      <c r="C13" s="1"/>
      <c r="D13" s="1"/>
      <c r="E13" s="1" t="s">
        <v>36</v>
      </c>
      <c r="F13" s="1" t="s">
        <v>101</v>
      </c>
      <c r="J13" s="17" t="s">
        <v>115</v>
      </c>
    </row>
    <row r="15" spans="1:12" x14ac:dyDescent="0.25">
      <c r="A15" s="17" t="s">
        <v>116</v>
      </c>
      <c r="H15" s="27"/>
    </row>
    <row r="16" spans="1:12" x14ac:dyDescent="0.25">
      <c r="A16" s="17" t="s">
        <v>117</v>
      </c>
      <c r="H16" s="27"/>
    </row>
    <row r="17" spans="1:8" x14ac:dyDescent="0.25">
      <c r="A17" s="17" t="s">
        <v>118</v>
      </c>
      <c r="H17" s="27"/>
    </row>
    <row r="18" spans="1:8" x14ac:dyDescent="0.25">
      <c r="A18" s="17" t="s">
        <v>119</v>
      </c>
      <c r="H18" s="27"/>
    </row>
    <row r="19" spans="1:8" x14ac:dyDescent="0.25">
      <c r="A19" s="17" t="s">
        <v>120</v>
      </c>
      <c r="H19" s="27"/>
    </row>
    <row r="20" spans="1:8" x14ac:dyDescent="0.25">
      <c r="A20" s="17" t="s">
        <v>121</v>
      </c>
      <c r="H20" s="27"/>
    </row>
    <row r="21" spans="1:8" x14ac:dyDescent="0.25">
      <c r="H21" s="27"/>
    </row>
    <row r="22" spans="1:8" x14ac:dyDescent="0.25">
      <c r="H22" s="27"/>
    </row>
    <row r="23" spans="1:8" x14ac:dyDescent="0.25">
      <c r="H23" s="27"/>
    </row>
    <row r="24" spans="1:8" x14ac:dyDescent="0.25">
      <c r="H24" s="27"/>
    </row>
    <row r="25" spans="1:8" x14ac:dyDescent="0.25">
      <c r="H25" s="27"/>
    </row>
    <row r="26" spans="1:8" x14ac:dyDescent="0.25">
      <c r="H26" s="27"/>
    </row>
    <row r="27" spans="1:8" x14ac:dyDescent="0.25">
      <c r="H27" s="27"/>
    </row>
  </sheetData>
  <mergeCells count="2">
    <mergeCell ref="A1:F1"/>
    <mergeCell ref="I3:L3"/>
  </mergeCells>
  <dataValidations count="6">
    <dataValidation type="whole" allowBlank="1" showInputMessage="1" showErrorMessage="1" errorTitle="ERROR" error="Only 1 to 1000_x000a_do not use decimal" prompt="Enter only 1 to 1000 " sqref="A4:A13" xr:uid="{23557145-770A-43FE-BDD3-E7D5FF39E536}">
      <formula1>1</formula1>
      <formula2>1000</formula2>
    </dataValidation>
    <dataValidation type="date" operator="lessThan" allowBlank="1" showInputMessage="1" showErrorMessage="1" errorTitle="Alert" error="Date after 2002 not accepted" sqref="B4:B13" xr:uid="{57978D93-C53E-42E0-BFA4-F5E0AF9CFBBF}">
      <formula1>37257</formula1>
    </dataValidation>
    <dataValidation type="whole" allowBlank="1" showInputMessage="1" showErrorMessage="1" sqref="C4:C13" xr:uid="{29470FCE-B864-49D1-90B5-7C85BB707035}">
      <formula1>25000</formula1>
      <formula2>85000</formula2>
    </dataValidation>
    <dataValidation type="textLength" operator="greaterThanOrEqual" allowBlank="1" showInputMessage="1" showErrorMessage="1" error="Minimum 5 character long" sqref="D4:D13" xr:uid="{B1768E55-9250-4CFA-A7FC-D8183127E369}">
      <formula1>5</formula1>
    </dataValidation>
    <dataValidation type="list" allowBlank="1" showInputMessage="1" showErrorMessage="1" sqref="E4:E14" xr:uid="{DBDA9E76-85B6-45DD-B12A-145B34542AF5}">
      <formula1>$I$5:$L$5</formula1>
    </dataValidation>
    <dataValidation type="list" allowBlank="1" showInputMessage="1" showErrorMessage="1" sqref="F4:F13" xr:uid="{662CBA56-5395-4613-B20B-7D34E7418F0D}">
      <formula1>INDIRECT(E4)</formula1>
    </dataValidation>
  </dataValidation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Text functions</vt:lpstr>
      <vt:lpstr>Date</vt:lpstr>
      <vt:lpstr>DataValidation</vt:lpstr>
      <vt:lpstr>East</vt:lpstr>
      <vt:lpstr>north</vt:lpstr>
      <vt:lpstr>Regiondetails</vt:lpstr>
      <vt:lpstr>south</vt:lpstr>
      <vt:lpstr>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KARANAM VARENYA</cp:lastModifiedBy>
  <dcterms:created xsi:type="dcterms:W3CDTF">2022-07-28T07:22:53Z</dcterms:created>
  <dcterms:modified xsi:type="dcterms:W3CDTF">2026-01-28T04:39:44Z</dcterms:modified>
</cp:coreProperties>
</file>