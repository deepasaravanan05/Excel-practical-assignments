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FCAEFA67-BBCB-4446-8440-AEA5C39DF9A4}" xr6:coauthVersionLast="47" xr6:coauthVersionMax="47" xr10:uidLastSave="{00000000-0000-0000-0000-000000000000}"/>
  <bookViews>
    <workbookView xWindow="-108" yWindow="-108" windowWidth="23256" windowHeight="12456" activeTab="4" xr2:uid="{F9B6B340-4EC4-452F-AFE1-99A1074CF40D}"/>
  </bookViews>
  <sheets>
    <sheet name="Charts2" sheetId="3" r:id="rId1"/>
    <sheet name="Charts" sheetId="1" r:id="rId2"/>
    <sheet name="Scatter" sheetId="5" r:id="rId3"/>
    <sheet name="Waterfall" sheetId="8" r:id="rId4"/>
    <sheet name="Gantt chart" sheetId="9" r:id="rId5"/>
  </sheets>
  <definedNames>
    <definedName name="_xlchart.v1.0" hidden="1">Waterfall!$C$6:$C$17</definedName>
    <definedName name="_xlchart.v1.1" hidden="1">Waterfall!$D$5</definedName>
    <definedName name="_xlchart.v1.2" hidden="1">Waterfall!$D$6:$D$17</definedName>
    <definedName name="_xlchart.v1.3" hidden="1">Waterfall!$C$6:$C$17</definedName>
    <definedName name="_xlchart.v1.4" hidden="1">Waterfall!$D$5</definedName>
    <definedName name="_xlchart.v1.5" hidden="1">Waterfall!$D$6:$D$17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F8" i="9"/>
  <c r="F9" i="9"/>
  <c r="F10" i="9"/>
  <c r="F11" i="9"/>
  <c r="F12" i="9"/>
  <c r="F13" i="9"/>
  <c r="F14" i="9"/>
  <c r="F15" i="9"/>
  <c r="F16" i="9"/>
  <c r="F17" i="9"/>
  <c r="F7" i="9"/>
  <c r="D17" i="8"/>
  <c r="F9" i="3" l="1"/>
  <c r="F17" i="3"/>
  <c r="F8" i="3"/>
  <c r="F10" i="3"/>
  <c r="F11" i="3"/>
  <c r="F12" i="3"/>
  <c r="F14" i="3"/>
  <c r="F15" i="3"/>
  <c r="F16" i="3"/>
  <c r="F18" i="3"/>
  <c r="F19" i="3"/>
  <c r="F20" i="3"/>
  <c r="F22" i="3"/>
  <c r="F13" i="3"/>
  <c r="F7" i="3"/>
  <c r="D25" i="3"/>
  <c r="F23" i="3" l="1"/>
  <c r="F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F039D-9B91-45D2-8470-2D068DA892CD}" keepAlive="1" name="Query - auto-mpg" description="Connection to the 'auto-mpg' query in the workbook." type="5" refreshedVersion="0" background="1" saveData="1">
    <dbPr connection="Provider=Microsoft.Mashup.OleDb.1;Data Source=$Workbook$;Location=auto-mpg;Extended Properties=&quot;&quot;" command="SELECT * FROM [auto-mpg]"/>
  </connection>
</connections>
</file>

<file path=xl/sharedStrings.xml><?xml version="1.0" encoding="utf-8"?>
<sst xmlns="http://schemas.openxmlformats.org/spreadsheetml/2006/main" count="45" uniqueCount="38">
  <si>
    <t>Date</t>
  </si>
  <si>
    <t>Revenue'000</t>
  </si>
  <si>
    <t>Create Line Chart with Proper formatting</t>
  </si>
  <si>
    <t>Should be formatted as shown in picture</t>
  </si>
  <si>
    <t>Total</t>
  </si>
  <si>
    <t>%</t>
  </si>
  <si>
    <t>Running Total</t>
  </si>
  <si>
    <t>Create Combo Chart with Proper formatting</t>
  </si>
  <si>
    <t>horsepower</t>
  </si>
  <si>
    <t>weight</t>
  </si>
  <si>
    <t>Create Scatter Chart with Proper formatting</t>
  </si>
  <si>
    <t>Period</t>
  </si>
  <si>
    <t>Net Cash Flow</t>
  </si>
  <si>
    <t>Current Balance</t>
  </si>
  <si>
    <t>JAN FY2022</t>
  </si>
  <si>
    <t>FEB FY2022</t>
  </si>
  <si>
    <t>MAR FY2022</t>
  </si>
  <si>
    <t>APR FY2022</t>
  </si>
  <si>
    <t>MAY FY2022</t>
  </si>
  <si>
    <t>JUN FY2022</t>
  </si>
  <si>
    <t>JUL FY2022</t>
  </si>
  <si>
    <t>AUG FY2022</t>
  </si>
  <si>
    <t>SEP FY2022</t>
  </si>
  <si>
    <t>OCT FY2022</t>
  </si>
  <si>
    <t>Start Balance</t>
  </si>
  <si>
    <t>Create Waterfall Chart with Proper formatting</t>
  </si>
  <si>
    <t>Task Description</t>
  </si>
  <si>
    <t>Start 
Date</t>
  </si>
  <si>
    <t>Planned 
End Date</t>
  </si>
  <si>
    <t>Work Days Planned</t>
  </si>
  <si>
    <t>Main task 1</t>
  </si>
  <si>
    <t>Sub-task 1</t>
  </si>
  <si>
    <t>Sub-task 2</t>
  </si>
  <si>
    <t>Sub-task 3</t>
  </si>
  <si>
    <t>Sub-task 4</t>
  </si>
  <si>
    <t>Sub-task 5</t>
  </si>
  <si>
    <t>Sub-task 6</t>
  </si>
  <si>
    <t>Main task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</si>
</sst>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$&quot;#,##0_);[Red]\(&quot;$&quot;#,##0\)"/>
    <numFmt numFmtId="165" formatCode="dd\-mmm\-yy;;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0" fillId="0" borderId="2" xfId="0" applyNumberFormat="1" applyBorder="1"/>
    <xf numFmtId="0" fontId="0" fillId="0" borderId="1" xfId="0" applyBorder="1"/>
    <xf numFmtId="0" fontId="0" fillId="0" borderId="4" xfId="0" applyBorder="1"/>
    <xf numFmtId="164" fontId="0" fillId="0" borderId="3" xfId="0" applyNumberForma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8" fontId="0" fillId="0" borderId="3" xfId="0" applyNumberFormat="1" applyBorder="1"/>
    <xf numFmtId="6" fontId="0" fillId="0" borderId="2" xfId="0" applyNumberFormat="1" applyBorder="1"/>
    <xf numFmtId="6" fontId="0" fillId="0" borderId="3" xfId="0" applyNumberFormat="1" applyBorder="1"/>
    <xf numFmtId="164" fontId="0" fillId="0" borderId="0" xfId="0" applyNumberFormat="1"/>
    <xf numFmtId="0" fontId="0" fillId="0" borderId="3" xfId="0" applyBorder="1"/>
    <xf numFmtId="9" fontId="0" fillId="0" borderId="3" xfId="0" applyNumberFormat="1" applyBorder="1"/>
    <xf numFmtId="4" fontId="0" fillId="0" borderId="3" xfId="0" applyNumberFormat="1" applyBorder="1"/>
    <xf numFmtId="0" fontId="1" fillId="2" borderId="3" xfId="0" applyFont="1" applyFill="1" applyBorder="1"/>
    <xf numFmtId="0" fontId="1" fillId="3" borderId="5" xfId="0" applyFont="1" applyFill="1" applyBorder="1"/>
    <xf numFmtId="0" fontId="0" fillId="4" borderId="5" xfId="0" applyFill="1" applyBorder="1"/>
    <xf numFmtId="0" fontId="0" fillId="0" borderId="5" xfId="0" applyBorder="1"/>
    <xf numFmtId="15" fontId="6" fillId="0" borderId="0" xfId="0" applyNumberFormat="1" applyFont="1" applyAlignment="1" applyProtection="1">
      <alignment horizontal="right"/>
      <protection locked="0"/>
    </xf>
    <xf numFmtId="0" fontId="6" fillId="0" borderId="7" xfId="0" applyFont="1" applyBorder="1" applyProtection="1">
      <protection locked="0"/>
    </xf>
    <xf numFmtId="165" fontId="6" fillId="0" borderId="7" xfId="0" applyNumberFormat="1" applyFont="1" applyBorder="1" applyAlignment="1" applyProtection="1">
      <alignment horizontal="right"/>
      <protection locked="0"/>
    </xf>
    <xf numFmtId="0" fontId="7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Protection="1">
      <protection locked="0"/>
    </xf>
    <xf numFmtId="1" fontId="6" fillId="0" borderId="0" xfId="0" applyNumberFormat="1" applyFont="1" applyAlignment="1">
      <alignment horizontal="center"/>
    </xf>
    <xf numFmtId="15" fontId="6" fillId="0" borderId="7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F9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Charts2!$C$5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F-4F0B-B4B1-EBAEC254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167344"/>
        <c:axId val="307894272"/>
      </c:barChart>
      <c:barChart>
        <c:barDir val="col"/>
        <c:grouping val="clustered"/>
        <c:varyColors val="0"/>
        <c:ser>
          <c:idx val="1"/>
          <c:order val="1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F-4F0B-B4B1-EBAEC254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257792"/>
        <c:axId val="877257312"/>
      </c:barChart>
      <c:lineChart>
        <c:grouping val="standard"/>
        <c:varyColors val="0"/>
        <c:ser>
          <c:idx val="2"/>
          <c:order val="2"/>
          <c:tx>
            <c:strRef>
              <c:f>Charts2!$E$5</c:f>
              <c:strCache>
                <c:ptCount val="1"/>
                <c:pt idx="0">
                  <c:v>Running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Charts2!$E$6:$E$23</c:f>
              <c:numCache>
                <c:formatCode>#,##0.00</c:formatCode>
                <c:ptCount val="18"/>
                <c:pt idx="1">
                  <c:v>5078</c:v>
                </c:pt>
                <c:pt idx="2">
                  <c:v>13267</c:v>
                </c:pt>
                <c:pt idx="3">
                  <c:v>14997</c:v>
                </c:pt>
                <c:pt idx="4">
                  <c:v>20259</c:v>
                </c:pt>
                <c:pt idx="5">
                  <c:v>22431</c:v>
                </c:pt>
                <c:pt idx="6">
                  <c:v>26815</c:v>
                </c:pt>
                <c:pt idx="7">
                  <c:v>35524</c:v>
                </c:pt>
                <c:pt idx="8">
                  <c:v>39142</c:v>
                </c:pt>
                <c:pt idx="9">
                  <c:v>45514</c:v>
                </c:pt>
                <c:pt idx="10">
                  <c:v>48970</c:v>
                </c:pt>
                <c:pt idx="11">
                  <c:v>56448</c:v>
                </c:pt>
                <c:pt idx="12">
                  <c:v>61097</c:v>
                </c:pt>
                <c:pt idx="13">
                  <c:v>66928</c:v>
                </c:pt>
                <c:pt idx="14">
                  <c:v>68527</c:v>
                </c:pt>
                <c:pt idx="15">
                  <c:v>72222</c:v>
                </c:pt>
                <c:pt idx="16">
                  <c:v>73900</c:v>
                </c:pt>
                <c:pt idx="17">
                  <c:v>77390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4F-4F0B-B4B1-EBAEC254F9FE}"/>
            </c:ext>
          </c:extLst>
        </c:ser>
        <c:ser>
          <c:idx val="3"/>
          <c:order val="3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4F-4F0B-B4B1-EBAEC254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167344"/>
        <c:axId val="307894272"/>
      </c:lineChart>
      <c:catAx>
        <c:axId val="785167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94272"/>
        <c:crosses val="autoZero"/>
        <c:auto val="1"/>
        <c:lblAlgn val="ctr"/>
        <c:lblOffset val="100"/>
        <c:noMultiLvlLbl val="0"/>
      </c:catAx>
      <c:valAx>
        <c:axId val="30789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67344"/>
        <c:crosses val="autoZero"/>
        <c:crossBetween val="between"/>
      </c:valAx>
      <c:valAx>
        <c:axId val="877257312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257792"/>
        <c:crosses val="max"/>
        <c:crossBetween val="between"/>
      </c:valAx>
      <c:catAx>
        <c:axId val="877257792"/>
        <c:scaling>
          <c:orientation val="minMax"/>
        </c:scaling>
        <c:delete val="1"/>
        <c:axPos val="b"/>
        <c:majorTickMark val="out"/>
        <c:minorTickMark val="none"/>
        <c:tickLblPos val="nextTo"/>
        <c:crossAx val="8772573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025371828521436E-2"/>
          <c:y val="0.17634259259259263"/>
          <c:w val="0.9509746281714786"/>
          <c:h val="0.66128062117235342"/>
        </c:manualLayout>
      </c:layout>
      <c:lineChart>
        <c:grouping val="stacked"/>
        <c:varyColors val="0"/>
        <c:ser>
          <c:idx val="0"/>
          <c:order val="0"/>
          <c:tx>
            <c:strRef>
              <c:f>Charts!$C$5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8-403E-91AA-ED8DB998E8C1}"/>
            </c:ext>
          </c:extLst>
        </c:ser>
        <c:ser>
          <c:idx val="1"/>
          <c:order val="1"/>
          <c:tx>
            <c:strRef>
              <c:f>Charts!$D$5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8776978417266189E-2"/>
                  <c:y val="3.9840637450199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28-403E-91AA-ED8DB998E8C1}"/>
                </c:ext>
              </c:extLst>
            </c:dLbl>
            <c:dLbl>
              <c:idx val="12"/>
              <c:layout>
                <c:manualLayout>
                  <c:x val="-5.2757793764988008E-2"/>
                  <c:y val="5.7547587428065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28-403E-91AA-ED8DB998E8C1}"/>
                </c:ext>
              </c:extLst>
            </c:dLbl>
            <c:dLbl>
              <c:idx val="13"/>
              <c:layout>
                <c:manualLayout>
                  <c:x val="-1.43884892086330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28-403E-91AA-ED8DB998E8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8-403E-91AA-ED8DB998E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4633952"/>
        <c:axId val="474650752"/>
      </c:lineChart>
      <c:catAx>
        <c:axId val="474633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474650752"/>
        <c:crosses val="autoZero"/>
        <c:auto val="1"/>
        <c:lblAlgn val="ctr"/>
        <c:lblOffset val="100"/>
        <c:noMultiLvlLbl val="0"/>
      </c:catAx>
      <c:valAx>
        <c:axId val="474650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63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F9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vs horsepower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Scatter!$D$5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Scatter!$C$6:$C$37</c:f>
              <c:numCache>
                <c:formatCode>General</c:formatCode>
                <c:ptCount val="32"/>
                <c:pt idx="0">
                  <c:v>130</c:v>
                </c:pt>
                <c:pt idx="1">
                  <c:v>165</c:v>
                </c:pt>
                <c:pt idx="2">
                  <c:v>150</c:v>
                </c:pt>
                <c:pt idx="3">
                  <c:v>150</c:v>
                </c:pt>
                <c:pt idx="4">
                  <c:v>140</c:v>
                </c:pt>
                <c:pt idx="5">
                  <c:v>198</c:v>
                </c:pt>
                <c:pt idx="6">
                  <c:v>220</c:v>
                </c:pt>
                <c:pt idx="7">
                  <c:v>215</c:v>
                </c:pt>
                <c:pt idx="8">
                  <c:v>225</c:v>
                </c:pt>
                <c:pt idx="9">
                  <c:v>190</c:v>
                </c:pt>
                <c:pt idx="10">
                  <c:v>170</c:v>
                </c:pt>
                <c:pt idx="11">
                  <c:v>160</c:v>
                </c:pt>
                <c:pt idx="12">
                  <c:v>150</c:v>
                </c:pt>
                <c:pt idx="13">
                  <c:v>225</c:v>
                </c:pt>
                <c:pt idx="14">
                  <c:v>95</c:v>
                </c:pt>
                <c:pt idx="15">
                  <c:v>95</c:v>
                </c:pt>
                <c:pt idx="16">
                  <c:v>97</c:v>
                </c:pt>
                <c:pt idx="17">
                  <c:v>85</c:v>
                </c:pt>
                <c:pt idx="18">
                  <c:v>88</c:v>
                </c:pt>
                <c:pt idx="19">
                  <c:v>46</c:v>
                </c:pt>
                <c:pt idx="20">
                  <c:v>87</c:v>
                </c:pt>
                <c:pt idx="21">
                  <c:v>90</c:v>
                </c:pt>
                <c:pt idx="22">
                  <c:v>95</c:v>
                </c:pt>
                <c:pt idx="23">
                  <c:v>113</c:v>
                </c:pt>
                <c:pt idx="24">
                  <c:v>90</c:v>
                </c:pt>
                <c:pt idx="25">
                  <c:v>215</c:v>
                </c:pt>
                <c:pt idx="26">
                  <c:v>200</c:v>
                </c:pt>
                <c:pt idx="27">
                  <c:v>210</c:v>
                </c:pt>
                <c:pt idx="28">
                  <c:v>193</c:v>
                </c:pt>
                <c:pt idx="29">
                  <c:v>88</c:v>
                </c:pt>
                <c:pt idx="30">
                  <c:v>90</c:v>
                </c:pt>
                <c:pt idx="31">
                  <c:v>95</c:v>
                </c:pt>
              </c:numCache>
            </c:numRef>
          </c:xVal>
          <c:yVal>
            <c:numRef>
              <c:f>Scatter!$D$6:$D$37</c:f>
              <c:numCache>
                <c:formatCode>General</c:formatCode>
                <c:ptCount val="32"/>
                <c:pt idx="0">
                  <c:v>3504</c:v>
                </c:pt>
                <c:pt idx="1">
                  <c:v>3693</c:v>
                </c:pt>
                <c:pt idx="2">
                  <c:v>3436</c:v>
                </c:pt>
                <c:pt idx="3">
                  <c:v>3433</c:v>
                </c:pt>
                <c:pt idx="4">
                  <c:v>3449</c:v>
                </c:pt>
                <c:pt idx="5">
                  <c:v>4341</c:v>
                </c:pt>
                <c:pt idx="6">
                  <c:v>4354</c:v>
                </c:pt>
                <c:pt idx="7">
                  <c:v>4312</c:v>
                </c:pt>
                <c:pt idx="8">
                  <c:v>4425</c:v>
                </c:pt>
                <c:pt idx="9">
                  <c:v>3850</c:v>
                </c:pt>
                <c:pt idx="10">
                  <c:v>3563</c:v>
                </c:pt>
                <c:pt idx="11">
                  <c:v>3609</c:v>
                </c:pt>
                <c:pt idx="12">
                  <c:v>3761</c:v>
                </c:pt>
                <c:pt idx="13">
                  <c:v>3086</c:v>
                </c:pt>
                <c:pt idx="14">
                  <c:v>2372</c:v>
                </c:pt>
                <c:pt idx="15">
                  <c:v>2833</c:v>
                </c:pt>
                <c:pt idx="16">
                  <c:v>2774</c:v>
                </c:pt>
                <c:pt idx="17">
                  <c:v>2587</c:v>
                </c:pt>
                <c:pt idx="18">
                  <c:v>2130</c:v>
                </c:pt>
                <c:pt idx="19">
                  <c:v>1835</c:v>
                </c:pt>
                <c:pt idx="20">
                  <c:v>2672</c:v>
                </c:pt>
                <c:pt idx="21">
                  <c:v>2430</c:v>
                </c:pt>
                <c:pt idx="22">
                  <c:v>2375</c:v>
                </c:pt>
                <c:pt idx="23">
                  <c:v>2234</c:v>
                </c:pt>
                <c:pt idx="24">
                  <c:v>2648</c:v>
                </c:pt>
                <c:pt idx="25">
                  <c:v>4615</c:v>
                </c:pt>
                <c:pt idx="26">
                  <c:v>4376</c:v>
                </c:pt>
                <c:pt idx="27">
                  <c:v>4382</c:v>
                </c:pt>
                <c:pt idx="28">
                  <c:v>4732</c:v>
                </c:pt>
                <c:pt idx="29">
                  <c:v>2130</c:v>
                </c:pt>
                <c:pt idx="30">
                  <c:v>2264</c:v>
                </c:pt>
                <c:pt idx="31">
                  <c:v>2228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8-4FF0-B2DB-65F4D94B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261984"/>
        <c:axId val="535260064"/>
      </c:scatterChart>
      <c:valAx>
        <c:axId val="5352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60064"/>
        <c:crosses val="autoZero"/>
        <c:crossBetween val="midCat"/>
      </c:valAx>
      <c:valAx>
        <c:axId val="5352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6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chart'!$D$6</c:f>
              <c:strCache>
                <c:ptCount val="1"/>
                <c:pt idx="0">
                  <c:v>Start 
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chart'!$C$7:$C$17</c:f>
              <c:strCache>
                <c:ptCount val="11"/>
                <c:pt idx="0">
                  <c:v>Main task 1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'Gantt chart'!$D$7:$D$17</c:f>
              <c:numCache>
                <c:formatCode>dd\-mmm\-yy;;</c:formatCode>
                <c:ptCount val="11"/>
                <c:pt idx="0" formatCode="d\-mmm\-yy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6-4C5C-A192-E8ADED828221}"/>
            </c:ext>
          </c:extLst>
        </c:ser>
        <c:ser>
          <c:idx val="2"/>
          <c:order val="1"/>
          <c:tx>
            <c:strRef>
              <c:f>'Gantt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'Gantt chart'!$F$7:$F$17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6-4C5C-A192-E8ADED82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1614711327"/>
        <c:axId val="1614728799"/>
      </c:barChart>
      <c:catAx>
        <c:axId val="16147113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28799"/>
        <c:crosses val="autoZero"/>
        <c:auto val="1"/>
        <c:lblAlgn val="ctr"/>
        <c:lblOffset val="100"/>
        <c:noMultiLvlLbl val="0"/>
      </c:catAx>
      <c:valAx>
        <c:axId val="1614728799"/>
        <c:scaling>
          <c:orientation val="minMax"/>
          <c:max val="40240"/>
          <c:min val="400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chart'!$D$6</c:f>
              <c:strCache>
                <c:ptCount val="1"/>
                <c:pt idx="0">
                  <c:v>Start 
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chart'!$C$7:$C$17</c:f>
              <c:strCache>
                <c:ptCount val="11"/>
                <c:pt idx="0">
                  <c:v>Main task 1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'Gantt chart'!$D$7:$D$17</c:f>
              <c:numCache>
                <c:formatCode>dd\-mmm\-yy;;</c:formatCode>
                <c:ptCount val="11"/>
                <c:pt idx="0" formatCode="d\-mmm\-yy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5-4FD2-BF85-67A790E26351}"/>
            </c:ext>
          </c:extLst>
        </c:ser>
        <c:ser>
          <c:idx val="2"/>
          <c:order val="1"/>
          <c:tx>
            <c:strRef>
              <c:f>'Gantt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'Gantt chart'!$F$7:$F$17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5-4FD2-BF85-67A790E26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1614711327"/>
        <c:axId val="1614728799"/>
      </c:barChart>
      <c:catAx>
        <c:axId val="16147113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28799"/>
        <c:crosses val="autoZero"/>
        <c:auto val="1"/>
        <c:lblAlgn val="ctr"/>
        <c:lblOffset val="100"/>
        <c:noMultiLvlLbl val="0"/>
      </c:catAx>
      <c:valAx>
        <c:axId val="1614728799"/>
        <c:scaling>
          <c:orientation val="minMax"/>
          <c:max val="40240"/>
          <c:min val="400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waterfall" uniqueId="{8997863B-01C9-46E3-BB6A-EEE5198BA787}">
          <cx:tx>
            <cx:txData>
              <cx:f>_xlchart.v1.4</cx:f>
              <cx:v>Net Cash Flow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533401</xdr:colOff>
      <xdr:row>3</xdr:row>
      <xdr:rowOff>53341</xdr:rowOff>
    </xdr:from>
    <xdr:to>
      <xdr:col>17</xdr:col>
      <xdr:colOff>364007</xdr:colOff>
      <xdr:row>15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49043-CFB3-29BF-E4E9-35DA23BD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7521" y="601981"/>
          <a:ext cx="4097806" cy="2278380"/>
        </a:xfrm>
        <a:prstGeom prst="rect">
          <a:avLst/>
        </a:prstGeom>
      </xdr:spPr>
    </xdr:pic>
    <xdr:clientData/>
  </xdr:twoCellAnchor>
  <xdr:twoCellAnchor>
    <xdr:from>
      <xdr:col>8</xdr:col>
      <xdr:colOff>320040</xdr:colOff>
      <xdr:row>17</xdr:row>
      <xdr:rowOff>19050</xdr:rowOff>
    </xdr:from>
    <xdr:to>
      <xdr:col>16</xdr:col>
      <xdr:colOff>15240</xdr:colOff>
      <xdr:row>32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BB387-289D-A41C-2125-A9FF83232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419101</xdr:colOff>
      <xdr:row>7</xdr:row>
      <xdr:rowOff>15240</xdr:rowOff>
    </xdr:from>
    <xdr:to>
      <xdr:col>22</xdr:col>
      <xdr:colOff>342901</xdr:colOff>
      <xdr:row>17</xdr:row>
      <xdr:rowOff>14764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86E88E-55C4-E22C-847C-E6D6AF3E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1621" y="1295400"/>
          <a:ext cx="4800600" cy="1828324"/>
        </a:xfrm>
        <a:prstGeom prst="rect">
          <a:avLst/>
        </a:prstGeom>
      </xdr:spPr>
    </xdr:pic>
    <xdr:clientData/>
  </xdr:twoCellAnchor>
  <xdr:twoCellAnchor>
    <xdr:from>
      <xdr:col>5</xdr:col>
      <xdr:colOff>312420</xdr:colOff>
      <xdr:row>4</xdr:row>
      <xdr:rowOff>91440</xdr:rowOff>
    </xdr:from>
    <xdr:to>
      <xdr:col>14</xdr:col>
      <xdr:colOff>121920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3065C-A7EF-DBCC-6EDE-22D0143E2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472888</xdr:colOff>
      <xdr:row>6</xdr:row>
      <xdr:rowOff>40191</xdr:rowOff>
    </xdr:from>
    <xdr:to>
      <xdr:col>18</xdr:col>
      <xdr:colOff>212295</xdr:colOff>
      <xdr:row>17</xdr:row>
      <xdr:rowOff>105186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4B4447-9F0E-E66F-1415-68013CBD2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5888" y="1115956"/>
          <a:ext cx="3414936" cy="2037230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17</xdr:row>
      <xdr:rowOff>42863</xdr:rowOff>
    </xdr:from>
    <xdr:to>
      <xdr:col>12</xdr:col>
      <xdr:colOff>133350</xdr:colOff>
      <xdr:row>32</xdr:row>
      <xdr:rowOff>71438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349062-CFC2-B9AF-5D77-5A62914B2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534316</xdr:colOff>
      <xdr:row>2</xdr:row>
      <xdr:rowOff>60960</xdr:rowOff>
    </xdr:from>
    <xdr:to>
      <xdr:col>21</xdr:col>
      <xdr:colOff>84481</xdr:colOff>
      <xdr:row>18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2D7DE6-AAF3-216F-5EEF-D7C35776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0556" y="426720"/>
          <a:ext cx="6255765" cy="29718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19</xdr:row>
      <xdr:rowOff>102870</xdr:rowOff>
    </xdr:from>
    <xdr:to>
      <xdr:col>13</xdr:col>
      <xdr:colOff>365760</xdr:colOff>
      <xdr:row>34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A9DB2A-80AF-4135-17CA-792D0F6EC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1860" y="3577590"/>
              <a:ext cx="67589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5</xdr:row>
      <xdr:rowOff>106680</xdr:rowOff>
    </xdr:from>
    <xdr:to>
      <xdr:col>17</xdr:col>
      <xdr:colOff>342900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FF352-C61E-FE9C-4208-A698E22D9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25</xdr:row>
      <xdr:rowOff>7620</xdr:rowOff>
    </xdr:from>
    <xdr:to>
      <xdr:col>9</xdr:col>
      <xdr:colOff>594360</xdr:colOff>
      <xdr:row>42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0F4EF-6328-440D-98A6-CF15EA022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4C6E-6029-4ABB-914C-7BA262E33140}">
  <dimension ref="C2:F25"/>
  <sheetViews>
    <sheetView topLeftCell="A6" zoomScaleNormal="100" workbookViewId="0">
      <selection activeCell="F28" sqref="F28"/>
    </sheetView>
  </sheetViews>
  <sheetFormatPr defaultRowHeight="14.4" x14ac:dyDescent="0.3"/>
  <cols>
    <col min="4" max="4" width="11.77734375" bestFit="1" customWidth="1"/>
    <col min="5" max="5" width="12.6640625" bestFit="1" customWidth="1"/>
  </cols>
  <sheetData>
    <row r="2" spans="3:6" x14ac:dyDescent="0.3">
      <c r="C2" s="7" t="s">
        <v>7</v>
      </c>
    </row>
    <row r="3" spans="3:6" x14ac:dyDescent="0.3">
      <c r="C3" s="7"/>
    </row>
    <row r="5" spans="3:6" x14ac:dyDescent="0.3">
      <c r="C5" s="1" t="s">
        <v>0</v>
      </c>
      <c r="D5" s="2" t="s">
        <v>1</v>
      </c>
      <c r="E5" s="2" t="s">
        <v>6</v>
      </c>
      <c r="F5" s="16" t="s">
        <v>5</v>
      </c>
    </row>
    <row r="6" spans="3:6" x14ac:dyDescent="0.3">
      <c r="C6" s="4">
        <v>2005</v>
      </c>
      <c r="D6" s="3">
        <v>528</v>
      </c>
      <c r="E6" s="14"/>
      <c r="F6" s="13"/>
    </row>
    <row r="7" spans="3:6" x14ac:dyDescent="0.3">
      <c r="C7" s="4">
        <v>2006</v>
      </c>
      <c r="D7" s="3">
        <v>4550</v>
      </c>
      <c r="E7" s="15">
        <f>SUM($D$6:D7)</f>
        <v>5078</v>
      </c>
      <c r="F7" s="14">
        <f>E7/$E$23</f>
        <v>6.5615712624370076E-2</v>
      </c>
    </row>
    <row r="8" spans="3:6" x14ac:dyDescent="0.3">
      <c r="C8" s="4">
        <v>2007</v>
      </c>
      <c r="D8" s="3">
        <v>8189</v>
      </c>
      <c r="E8" s="15">
        <f>SUM($D$6:D8)</f>
        <v>13267</v>
      </c>
      <c r="F8" s="14">
        <f t="shared" ref="F8:F23" si="0">E8/$E$23</f>
        <v>0.17143041736658482</v>
      </c>
    </row>
    <row r="9" spans="3:6" x14ac:dyDescent="0.3">
      <c r="C9" s="4">
        <v>2008</v>
      </c>
      <c r="D9" s="3">
        <v>1730</v>
      </c>
      <c r="E9" s="15">
        <f>SUM($D$6:D9)</f>
        <v>14997</v>
      </c>
      <c r="F9" s="14">
        <f t="shared" si="0"/>
        <v>0.19378472670887711</v>
      </c>
    </row>
    <row r="10" spans="3:6" x14ac:dyDescent="0.3">
      <c r="C10" s="4">
        <v>2009</v>
      </c>
      <c r="D10" s="3">
        <v>5262</v>
      </c>
      <c r="E10" s="15">
        <f>SUM($D$6:D10)</f>
        <v>20259</v>
      </c>
      <c r="F10" s="14">
        <f t="shared" si="0"/>
        <v>0.26177800749450836</v>
      </c>
    </row>
    <row r="11" spans="3:6" x14ac:dyDescent="0.3">
      <c r="C11" s="4">
        <v>2010</v>
      </c>
      <c r="D11" s="3">
        <v>2172</v>
      </c>
      <c r="E11" s="15">
        <f>SUM($D$6:D11)</f>
        <v>22431</v>
      </c>
      <c r="F11" s="14">
        <f t="shared" si="0"/>
        <v>0.28984364905026488</v>
      </c>
    </row>
    <row r="12" spans="3:6" x14ac:dyDescent="0.3">
      <c r="C12" s="4">
        <v>2011</v>
      </c>
      <c r="D12" s="3">
        <v>4384</v>
      </c>
      <c r="E12" s="15">
        <f>SUM($D$6:D12)</f>
        <v>26815</v>
      </c>
      <c r="F12" s="14">
        <f t="shared" si="0"/>
        <v>0.34649179480553044</v>
      </c>
    </row>
    <row r="13" spans="3:6" x14ac:dyDescent="0.3">
      <c r="C13" s="4">
        <v>2012</v>
      </c>
      <c r="D13" s="3">
        <v>8709</v>
      </c>
      <c r="E13" s="15">
        <f>SUM($D$6:D13)</f>
        <v>35524</v>
      </c>
      <c r="F13" s="14">
        <f t="shared" si="0"/>
        <v>0.45902571391652669</v>
      </c>
    </row>
    <row r="14" spans="3:6" x14ac:dyDescent="0.3">
      <c r="C14" s="4">
        <v>2013</v>
      </c>
      <c r="D14" s="3">
        <v>3618</v>
      </c>
      <c r="E14" s="15">
        <f>SUM($D$6:D14)</f>
        <v>39142</v>
      </c>
      <c r="F14" s="14">
        <f t="shared" si="0"/>
        <v>0.50577594004393334</v>
      </c>
    </row>
    <row r="15" spans="3:6" x14ac:dyDescent="0.3">
      <c r="C15" s="4">
        <v>2014</v>
      </c>
      <c r="D15" s="3">
        <v>6372</v>
      </c>
      <c r="E15" s="15">
        <f>SUM($D$6:D15)</f>
        <v>45514</v>
      </c>
      <c r="F15" s="14">
        <f t="shared" si="0"/>
        <v>0.58811215919369431</v>
      </c>
    </row>
    <row r="16" spans="3:6" x14ac:dyDescent="0.3">
      <c r="C16" s="4">
        <v>2015</v>
      </c>
      <c r="D16" s="3">
        <v>3456</v>
      </c>
      <c r="E16" s="15">
        <f>SUM($D$6:D16)</f>
        <v>48970</v>
      </c>
      <c r="F16" s="14">
        <f t="shared" si="0"/>
        <v>0.6327690916139036</v>
      </c>
    </row>
    <row r="17" spans="3:6" x14ac:dyDescent="0.3">
      <c r="C17" s="4">
        <v>2016</v>
      </c>
      <c r="D17" s="3">
        <v>7478</v>
      </c>
      <c r="E17" s="15">
        <f>SUM($D$6:D17)</f>
        <v>56448</v>
      </c>
      <c r="F17" s="14">
        <f t="shared" si="0"/>
        <v>0.72939656286341903</v>
      </c>
    </row>
    <row r="18" spans="3:6" x14ac:dyDescent="0.3">
      <c r="C18" s="4">
        <v>2017</v>
      </c>
      <c r="D18" s="3">
        <v>4649</v>
      </c>
      <c r="E18" s="15">
        <f>SUM($D$6:D18)</f>
        <v>61097</v>
      </c>
      <c r="F18" s="14">
        <f t="shared" si="0"/>
        <v>0.78946892363354437</v>
      </c>
    </row>
    <row r="19" spans="3:6" x14ac:dyDescent="0.3">
      <c r="C19" s="4">
        <v>2018</v>
      </c>
      <c r="D19" s="3">
        <v>5831</v>
      </c>
      <c r="E19" s="15">
        <f>SUM($D$6:D19)</f>
        <v>66928</v>
      </c>
      <c r="F19" s="14">
        <f t="shared" si="0"/>
        <v>0.86481457552655383</v>
      </c>
    </row>
    <row r="20" spans="3:6" x14ac:dyDescent="0.3">
      <c r="C20" s="4">
        <v>2019</v>
      </c>
      <c r="D20" s="3">
        <v>1599</v>
      </c>
      <c r="E20" s="15">
        <f>SUM($D$6:D20)</f>
        <v>68527</v>
      </c>
      <c r="F20" s="14">
        <f t="shared" si="0"/>
        <v>0.88547615971055693</v>
      </c>
    </row>
    <row r="21" spans="3:6" x14ac:dyDescent="0.3">
      <c r="C21" s="4">
        <v>2020</v>
      </c>
      <c r="D21" s="3">
        <v>3695</v>
      </c>
      <c r="E21" s="15">
        <f>SUM($D$6:D21)</f>
        <v>72222</v>
      </c>
      <c r="F21" s="14">
        <f t="shared" si="0"/>
        <v>0.93322134642718702</v>
      </c>
    </row>
    <row r="22" spans="3:6" x14ac:dyDescent="0.3">
      <c r="C22" s="4">
        <v>2021</v>
      </c>
      <c r="D22" s="3">
        <v>1678</v>
      </c>
      <c r="E22" s="15">
        <f>SUM($D$6:D22)</f>
        <v>73900</v>
      </c>
      <c r="F22" s="14">
        <f t="shared" si="0"/>
        <v>0.95490373433260112</v>
      </c>
    </row>
    <row r="23" spans="3:6" x14ac:dyDescent="0.3">
      <c r="C23" s="5">
        <v>2022</v>
      </c>
      <c r="D23" s="6">
        <v>3490</v>
      </c>
      <c r="E23" s="15">
        <f>SUM($D$6:D23)</f>
        <v>77390</v>
      </c>
      <c r="F23" s="14">
        <f t="shared" si="0"/>
        <v>1</v>
      </c>
    </row>
    <row r="25" spans="3:6" x14ac:dyDescent="0.3">
      <c r="C25" t="s">
        <v>4</v>
      </c>
      <c r="D25" s="12">
        <f>SUM(D6:D23)</f>
        <v>77390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C4D0-24DA-435E-8C41-D6A5E4FF18F3}">
  <dimension ref="C2:D20"/>
  <sheetViews>
    <sheetView workbookViewId="0">
      <selection activeCell="N2" sqref="N2"/>
    </sheetView>
  </sheetViews>
  <sheetFormatPr defaultRowHeight="14.4" x14ac:dyDescent="0.3"/>
  <cols>
    <col min="4" max="4" width="11.77734375" bestFit="1" customWidth="1"/>
  </cols>
  <sheetData>
    <row r="2" spans="3:4" x14ac:dyDescent="0.3">
      <c r="C2" s="7" t="s">
        <v>2</v>
      </c>
    </row>
    <row r="3" spans="3:4" x14ac:dyDescent="0.3">
      <c r="C3" s="7" t="s">
        <v>3</v>
      </c>
    </row>
    <row r="5" spans="3:4" x14ac:dyDescent="0.3">
      <c r="C5" s="8" t="s">
        <v>0</v>
      </c>
      <c r="D5" s="8" t="s">
        <v>1</v>
      </c>
    </row>
    <row r="6" spans="3:4" x14ac:dyDescent="0.3">
      <c r="C6" s="4">
        <v>1990</v>
      </c>
      <c r="D6" s="10">
        <v>2156</v>
      </c>
    </row>
    <row r="7" spans="3:4" x14ac:dyDescent="0.3">
      <c r="C7" s="4">
        <v>1991</v>
      </c>
      <c r="D7" s="10">
        <v>3562</v>
      </c>
    </row>
    <row r="8" spans="3:4" x14ac:dyDescent="0.3">
      <c r="C8" s="4">
        <v>1992</v>
      </c>
      <c r="D8" s="10">
        <v>7506</v>
      </c>
    </row>
    <row r="9" spans="3:4" x14ac:dyDescent="0.3">
      <c r="C9" s="4">
        <v>1993</v>
      </c>
      <c r="D9" s="10">
        <v>6258</v>
      </c>
    </row>
    <row r="10" spans="3:4" x14ac:dyDescent="0.3">
      <c r="C10" s="4">
        <v>1994</v>
      </c>
      <c r="D10" s="10">
        <v>6279</v>
      </c>
    </row>
    <row r="11" spans="3:4" x14ac:dyDescent="0.3">
      <c r="C11" s="4">
        <v>1995</v>
      </c>
      <c r="D11" s="10">
        <v>1963</v>
      </c>
    </row>
    <row r="12" spans="3:4" x14ac:dyDescent="0.3">
      <c r="C12" s="4">
        <v>1996</v>
      </c>
      <c r="D12" s="10">
        <v>6736</v>
      </c>
    </row>
    <row r="13" spans="3:4" x14ac:dyDescent="0.3">
      <c r="C13" s="4">
        <v>1997</v>
      </c>
      <c r="D13" s="10">
        <v>3280</v>
      </c>
    </row>
    <row r="14" spans="3:4" x14ac:dyDescent="0.3">
      <c r="C14" s="4">
        <v>1998</v>
      </c>
      <c r="D14" s="10">
        <v>8398</v>
      </c>
    </row>
    <row r="15" spans="3:4" x14ac:dyDescent="0.3">
      <c r="C15" s="4">
        <v>1999</v>
      </c>
      <c r="D15" s="10">
        <v>2882</v>
      </c>
    </row>
    <row r="16" spans="3:4" x14ac:dyDescent="0.3">
      <c r="C16" s="4">
        <v>2000</v>
      </c>
      <c r="D16" s="10">
        <v>4686</v>
      </c>
    </row>
    <row r="17" spans="3:4" x14ac:dyDescent="0.3">
      <c r="C17" s="4">
        <v>2001</v>
      </c>
      <c r="D17" s="10">
        <v>6976</v>
      </c>
    </row>
    <row r="18" spans="3:4" x14ac:dyDescent="0.3">
      <c r="C18" s="4">
        <v>2002</v>
      </c>
      <c r="D18" s="10">
        <v>2173</v>
      </c>
    </row>
    <row r="19" spans="3:4" x14ac:dyDescent="0.3">
      <c r="C19" s="4">
        <v>2003</v>
      </c>
      <c r="D19" s="10">
        <v>2166</v>
      </c>
    </row>
    <row r="20" spans="3:4" x14ac:dyDescent="0.3">
      <c r="C20" s="5">
        <v>2004</v>
      </c>
      <c r="D20" s="11">
        <v>8418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6036-845C-4323-87D3-8CC25F53093B}">
  <dimension ref="C2:D37"/>
  <sheetViews>
    <sheetView topLeftCell="A5" zoomScale="102" workbookViewId="0">
      <selection activeCell="R25" sqref="R25"/>
    </sheetView>
  </sheetViews>
  <sheetFormatPr defaultRowHeight="14.4" x14ac:dyDescent="0.3"/>
  <cols>
    <col min="3" max="3" width="11" bestFit="1" customWidth="1"/>
  </cols>
  <sheetData>
    <row r="2" spans="3:4" x14ac:dyDescent="0.3">
      <c r="C2" s="7" t="s">
        <v>10</v>
      </c>
    </row>
    <row r="3" spans="3:4" x14ac:dyDescent="0.3">
      <c r="C3" s="7" t="s">
        <v>3</v>
      </c>
    </row>
    <row r="4" spans="3:4" x14ac:dyDescent="0.3">
      <c r="C4" s="7"/>
    </row>
    <row r="5" spans="3:4" x14ac:dyDescent="0.3">
      <c r="C5" s="17" t="s">
        <v>8</v>
      </c>
      <c r="D5" s="17" t="s">
        <v>9</v>
      </c>
    </row>
    <row r="6" spans="3:4" x14ac:dyDescent="0.3">
      <c r="C6" s="18">
        <v>130</v>
      </c>
      <c r="D6" s="18">
        <v>3504</v>
      </c>
    </row>
    <row r="7" spans="3:4" x14ac:dyDescent="0.3">
      <c r="C7" s="19">
        <v>165</v>
      </c>
      <c r="D7" s="19">
        <v>3693</v>
      </c>
    </row>
    <row r="8" spans="3:4" x14ac:dyDescent="0.3">
      <c r="C8" s="18">
        <v>150</v>
      </c>
      <c r="D8" s="18">
        <v>3436</v>
      </c>
    </row>
    <row r="9" spans="3:4" x14ac:dyDescent="0.3">
      <c r="C9" s="19">
        <v>150</v>
      </c>
      <c r="D9" s="19">
        <v>3433</v>
      </c>
    </row>
    <row r="10" spans="3:4" x14ac:dyDescent="0.3">
      <c r="C10" s="18">
        <v>140</v>
      </c>
      <c r="D10" s="18">
        <v>3449</v>
      </c>
    </row>
    <row r="11" spans="3:4" x14ac:dyDescent="0.3">
      <c r="C11" s="19">
        <v>198</v>
      </c>
      <c r="D11" s="19">
        <v>4341</v>
      </c>
    </row>
    <row r="12" spans="3:4" x14ac:dyDescent="0.3">
      <c r="C12" s="18">
        <v>220</v>
      </c>
      <c r="D12" s="18">
        <v>4354</v>
      </c>
    </row>
    <row r="13" spans="3:4" x14ac:dyDescent="0.3">
      <c r="C13" s="19">
        <v>215</v>
      </c>
      <c r="D13" s="19">
        <v>4312</v>
      </c>
    </row>
    <row r="14" spans="3:4" x14ac:dyDescent="0.3">
      <c r="C14" s="18">
        <v>225</v>
      </c>
      <c r="D14" s="18">
        <v>4425</v>
      </c>
    </row>
    <row r="15" spans="3:4" x14ac:dyDescent="0.3">
      <c r="C15" s="19">
        <v>190</v>
      </c>
      <c r="D15" s="19">
        <v>3850</v>
      </c>
    </row>
    <row r="16" spans="3:4" x14ac:dyDescent="0.3">
      <c r="C16" s="18">
        <v>170</v>
      </c>
      <c r="D16" s="18">
        <v>3563</v>
      </c>
    </row>
    <row r="17" spans="3:4" x14ac:dyDescent="0.3">
      <c r="C17" s="19">
        <v>160</v>
      </c>
      <c r="D17" s="19">
        <v>3609</v>
      </c>
    </row>
    <row r="18" spans="3:4" x14ac:dyDescent="0.3">
      <c r="C18" s="18">
        <v>150</v>
      </c>
      <c r="D18" s="18">
        <v>3761</v>
      </c>
    </row>
    <row r="19" spans="3:4" x14ac:dyDescent="0.3">
      <c r="C19" s="19">
        <v>225</v>
      </c>
      <c r="D19" s="19">
        <v>3086</v>
      </c>
    </row>
    <row r="20" spans="3:4" x14ac:dyDescent="0.3">
      <c r="C20" s="18">
        <v>95</v>
      </c>
      <c r="D20" s="18">
        <v>2372</v>
      </c>
    </row>
    <row r="21" spans="3:4" x14ac:dyDescent="0.3">
      <c r="C21" s="19">
        <v>95</v>
      </c>
      <c r="D21" s="19">
        <v>2833</v>
      </c>
    </row>
    <row r="22" spans="3:4" x14ac:dyDescent="0.3">
      <c r="C22" s="18">
        <v>97</v>
      </c>
      <c r="D22" s="18">
        <v>2774</v>
      </c>
    </row>
    <row r="23" spans="3:4" x14ac:dyDescent="0.3">
      <c r="C23" s="19">
        <v>85</v>
      </c>
      <c r="D23" s="19">
        <v>2587</v>
      </c>
    </row>
    <row r="24" spans="3:4" x14ac:dyDescent="0.3">
      <c r="C24" s="18">
        <v>88</v>
      </c>
      <c r="D24" s="18">
        <v>2130</v>
      </c>
    </row>
    <row r="25" spans="3:4" x14ac:dyDescent="0.3">
      <c r="C25" s="19">
        <v>46</v>
      </c>
      <c r="D25" s="19">
        <v>1835</v>
      </c>
    </row>
    <row r="26" spans="3:4" x14ac:dyDescent="0.3">
      <c r="C26" s="18">
        <v>87</v>
      </c>
      <c r="D26" s="18">
        <v>2672</v>
      </c>
    </row>
    <row r="27" spans="3:4" x14ac:dyDescent="0.3">
      <c r="C27" s="19">
        <v>90</v>
      </c>
      <c r="D27" s="19">
        <v>2430</v>
      </c>
    </row>
    <row r="28" spans="3:4" x14ac:dyDescent="0.3">
      <c r="C28" s="18">
        <v>95</v>
      </c>
      <c r="D28" s="18">
        <v>2375</v>
      </c>
    </row>
    <row r="29" spans="3:4" x14ac:dyDescent="0.3">
      <c r="C29" s="19">
        <v>113</v>
      </c>
      <c r="D29" s="19">
        <v>2234</v>
      </c>
    </row>
    <row r="30" spans="3:4" x14ac:dyDescent="0.3">
      <c r="C30" s="18">
        <v>90</v>
      </c>
      <c r="D30" s="18">
        <v>2648</v>
      </c>
    </row>
    <row r="31" spans="3:4" x14ac:dyDescent="0.3">
      <c r="C31" s="19">
        <v>215</v>
      </c>
      <c r="D31" s="19">
        <v>4615</v>
      </c>
    </row>
    <row r="32" spans="3:4" x14ac:dyDescent="0.3">
      <c r="C32" s="18">
        <v>200</v>
      </c>
      <c r="D32" s="18">
        <v>4376</v>
      </c>
    </row>
    <row r="33" spans="3:4" x14ac:dyDescent="0.3">
      <c r="C33" s="19">
        <v>210</v>
      </c>
      <c r="D33" s="19">
        <v>4382</v>
      </c>
    </row>
    <row r="34" spans="3:4" x14ac:dyDescent="0.3">
      <c r="C34" s="18">
        <v>193</v>
      </c>
      <c r="D34" s="18">
        <v>4732</v>
      </c>
    </row>
    <row r="35" spans="3:4" x14ac:dyDescent="0.3">
      <c r="C35" s="19">
        <v>88</v>
      </c>
      <c r="D35" s="19">
        <v>2130</v>
      </c>
    </row>
    <row r="36" spans="3:4" x14ac:dyDescent="0.3">
      <c r="C36" s="18">
        <v>90</v>
      </c>
      <c r="D36" s="18">
        <v>2264</v>
      </c>
    </row>
    <row r="37" spans="3:4" x14ac:dyDescent="0.3">
      <c r="C37" s="19">
        <v>95</v>
      </c>
      <c r="D37" s="19">
        <v>2228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30EC-B096-4BBD-B1C4-0DB85FEC0D4B}">
  <dimension ref="C2:D17"/>
  <sheetViews>
    <sheetView topLeftCell="D9" workbookViewId="0">
      <selection activeCell="P22" sqref="P22"/>
    </sheetView>
  </sheetViews>
  <sheetFormatPr defaultRowHeight="14.4" x14ac:dyDescent="0.3"/>
  <cols>
    <col min="3" max="3" width="16" bestFit="1" customWidth="1"/>
    <col min="4" max="4" width="12.6640625" bestFit="1" customWidth="1"/>
    <col min="5" max="5" width="15.33203125" bestFit="1" customWidth="1"/>
    <col min="6" max="6" width="11.109375" bestFit="1" customWidth="1"/>
    <col min="7" max="7" width="14.109375" bestFit="1" customWidth="1"/>
    <col min="8" max="8" width="12.109375" customWidth="1"/>
  </cols>
  <sheetData>
    <row r="2" spans="3:4" x14ac:dyDescent="0.3">
      <c r="C2" s="7" t="s">
        <v>25</v>
      </c>
    </row>
    <row r="3" spans="3:4" x14ac:dyDescent="0.3">
      <c r="C3" s="7" t="s">
        <v>3</v>
      </c>
    </row>
    <row r="5" spans="3:4" x14ac:dyDescent="0.3">
      <c r="C5" s="13" t="s">
        <v>11</v>
      </c>
      <c r="D5" s="13" t="s">
        <v>12</v>
      </c>
    </row>
    <row r="6" spans="3:4" x14ac:dyDescent="0.3">
      <c r="C6" s="13" t="s">
        <v>24</v>
      </c>
      <c r="D6" s="9">
        <v>100000</v>
      </c>
    </row>
    <row r="7" spans="3:4" x14ac:dyDescent="0.3">
      <c r="C7" s="13" t="s">
        <v>14</v>
      </c>
      <c r="D7" s="9">
        <v>-25000</v>
      </c>
    </row>
    <row r="8" spans="3:4" x14ac:dyDescent="0.3">
      <c r="C8" s="13" t="s">
        <v>15</v>
      </c>
      <c r="D8" s="9">
        <v>10000</v>
      </c>
    </row>
    <row r="9" spans="3:4" x14ac:dyDescent="0.3">
      <c r="C9" s="13" t="s">
        <v>16</v>
      </c>
      <c r="D9" s="9">
        <v>14000</v>
      </c>
    </row>
    <row r="10" spans="3:4" x14ac:dyDescent="0.3">
      <c r="C10" s="13" t="s">
        <v>17</v>
      </c>
      <c r="D10" s="9">
        <v>-15000</v>
      </c>
    </row>
    <row r="11" spans="3:4" x14ac:dyDescent="0.3">
      <c r="C11" s="13" t="s">
        <v>18</v>
      </c>
      <c r="D11" s="9">
        <v>-5000</v>
      </c>
    </row>
    <row r="12" spans="3:4" x14ac:dyDescent="0.3">
      <c r="C12" s="13" t="s">
        <v>19</v>
      </c>
      <c r="D12" s="9">
        <v>7000</v>
      </c>
    </row>
    <row r="13" spans="3:4" x14ac:dyDescent="0.3">
      <c r="C13" s="13" t="s">
        <v>20</v>
      </c>
      <c r="D13" s="9">
        <v>8500</v>
      </c>
    </row>
    <row r="14" spans="3:4" x14ac:dyDescent="0.3">
      <c r="C14" s="13" t="s">
        <v>21</v>
      </c>
      <c r="D14" s="9">
        <v>-10000</v>
      </c>
    </row>
    <row r="15" spans="3:4" x14ac:dyDescent="0.3">
      <c r="C15" s="13" t="s">
        <v>22</v>
      </c>
      <c r="D15" s="9">
        <v>-16000</v>
      </c>
    </row>
    <row r="16" spans="3:4" x14ac:dyDescent="0.3">
      <c r="C16" s="13" t="s">
        <v>23</v>
      </c>
      <c r="D16" s="9">
        <v>10000</v>
      </c>
    </row>
    <row r="17" spans="3:4" x14ac:dyDescent="0.3">
      <c r="C17" s="13" t="s">
        <v>13</v>
      </c>
      <c r="D17" s="9">
        <f>SUM(D6:D16)</f>
        <v>78500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776B-D6BA-4DE4-A6C5-ACB7A976CCF4}">
  <dimension ref="C6:F17"/>
  <sheetViews>
    <sheetView tabSelected="1" topLeftCell="A7" workbookViewId="0">
      <selection activeCell="C21" sqref="C21"/>
    </sheetView>
  </sheetViews>
  <sheetFormatPr defaultRowHeight="14.4" x14ac:dyDescent="0.3"/>
  <cols>
    <col min="3" max="3" width="14.33203125" bestFit="1" customWidth="1"/>
  </cols>
  <sheetData>
    <row r="6" spans="3:6" ht="30.6" x14ac:dyDescent="0.3">
      <c r="C6" s="24" t="s">
        <v>26</v>
      </c>
      <c r="D6" s="25" t="s">
        <v>27</v>
      </c>
      <c r="E6" s="25" t="s">
        <v>28</v>
      </c>
      <c r="F6" s="23" t="s">
        <v>29</v>
      </c>
    </row>
    <row r="7" spans="3:6" x14ac:dyDescent="0.3">
      <c r="C7" s="26" t="s">
        <v>30</v>
      </c>
      <c r="D7" s="20">
        <v>40081</v>
      </c>
      <c r="E7" s="20">
        <v>40240</v>
      </c>
      <c r="F7" s="27">
        <f>E7-D7</f>
        <v>159</v>
      </c>
    </row>
    <row r="8" spans="3:6" x14ac:dyDescent="0.3">
      <c r="C8" s="21" t="s">
        <v>31</v>
      </c>
      <c r="D8" s="22">
        <v>40081</v>
      </c>
      <c r="E8" s="22">
        <v>40195</v>
      </c>
      <c r="F8" s="27">
        <f t="shared" ref="F8:F17" si="0">E8-D8</f>
        <v>114</v>
      </c>
    </row>
    <row r="9" spans="3:6" x14ac:dyDescent="0.3">
      <c r="C9" s="21" t="s">
        <v>32</v>
      </c>
      <c r="D9" s="22">
        <v>40119</v>
      </c>
      <c r="E9" s="22">
        <v>40207</v>
      </c>
      <c r="F9" s="27">
        <f t="shared" si="0"/>
        <v>88</v>
      </c>
    </row>
    <row r="10" spans="3:6" x14ac:dyDescent="0.3">
      <c r="C10" s="21" t="s">
        <v>33</v>
      </c>
      <c r="D10" s="22">
        <v>40148</v>
      </c>
      <c r="E10" s="22">
        <v>40168</v>
      </c>
      <c r="F10" s="27">
        <f t="shared" si="0"/>
        <v>20</v>
      </c>
    </row>
    <row r="11" spans="3:6" x14ac:dyDescent="0.3">
      <c r="C11" s="21" t="s">
        <v>34</v>
      </c>
      <c r="D11" s="22">
        <v>40148</v>
      </c>
      <c r="E11" s="22">
        <v>40193</v>
      </c>
      <c r="F11" s="27">
        <f t="shared" si="0"/>
        <v>45</v>
      </c>
    </row>
    <row r="12" spans="3:6" x14ac:dyDescent="0.3">
      <c r="C12" s="21" t="s">
        <v>35</v>
      </c>
      <c r="D12" s="22">
        <v>40168</v>
      </c>
      <c r="E12" s="22">
        <v>40193</v>
      </c>
      <c r="F12" s="27">
        <f t="shared" si="0"/>
        <v>25</v>
      </c>
    </row>
    <row r="13" spans="3:6" x14ac:dyDescent="0.3">
      <c r="C13" s="21" t="s">
        <v>36</v>
      </c>
      <c r="D13" s="22">
        <v>40182</v>
      </c>
      <c r="E13" s="22">
        <v>40207</v>
      </c>
      <c r="F13" s="27">
        <f t="shared" si="0"/>
        <v>25</v>
      </c>
    </row>
    <row r="14" spans="3:6" x14ac:dyDescent="0.3">
      <c r="C14" s="21" t="s">
        <v>37</v>
      </c>
      <c r="D14" s="22">
        <v>40182</v>
      </c>
      <c r="E14" s="22">
        <v>40233</v>
      </c>
      <c r="F14" s="27">
        <f t="shared" si="0"/>
        <v>51</v>
      </c>
    </row>
    <row r="15" spans="3:6" x14ac:dyDescent="0.3">
      <c r="C15" s="21" t="s">
        <v>31</v>
      </c>
      <c r="D15" s="22">
        <v>40182</v>
      </c>
      <c r="E15" s="22">
        <v>40189</v>
      </c>
      <c r="F15" s="27">
        <f t="shared" si="0"/>
        <v>7</v>
      </c>
    </row>
    <row r="16" spans="3:6" x14ac:dyDescent="0.3">
      <c r="C16" s="21" t="s">
        <v>32</v>
      </c>
      <c r="D16" s="22">
        <v>40189</v>
      </c>
      <c r="E16" s="22">
        <v>40204</v>
      </c>
      <c r="F16" s="27">
        <f t="shared" si="0"/>
        <v>15</v>
      </c>
    </row>
    <row r="17" spans="3:6" x14ac:dyDescent="0.3">
      <c r="C17" s="21" t="s">
        <v>33</v>
      </c>
      <c r="D17" s="22">
        <v>40203</v>
      </c>
      <c r="E17" s="28">
        <v>40233</v>
      </c>
      <c r="F17" s="27">
        <f t="shared" si="0"/>
        <v>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2330E-E16E-48A5-AA7C-05C5CC66D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Charts2</vt:lpstr>
      <vt:lpstr>Charts</vt:lpstr>
      <vt:lpstr>Scatter</vt:lpstr>
      <vt:lpstr>Waterfall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Deepak</cp:lastModifiedBy>
  <dcterms:created xsi:type="dcterms:W3CDTF">2022-07-29T06:27:39Z</dcterms:created>
  <dcterms:modified xsi:type="dcterms:W3CDTF">2026-01-28T16:29:31Z</dcterms:modified>
</cp:coreProperties>
</file>