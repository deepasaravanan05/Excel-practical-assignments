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be646c82ac013f44/Documents/"/>
    </mc:Choice>
  </mc:AlternateContent>
  <xr:revisionPtr revIDLastSave="65" documentId="8_{4267EBB4-B071-4495-85F6-2A16E6045AAC}" xr6:coauthVersionLast="47" xr6:coauthVersionMax="47" xr10:uidLastSave="{D59B5D43-1F45-4AE3-B030-F3BB38D268D9}"/>
  <bookViews>
    <workbookView xWindow="-108" yWindow="-108" windowWidth="23256" windowHeight="12456" activeTab="2" xr2:uid="{478DEE79-16BC-4780-860B-CD5832112004}"/>
  </bookViews>
  <sheets>
    <sheet name="pivot table" sheetId="2" r:id="rId1"/>
    <sheet name="sales data" sheetId="1" r:id="rId2"/>
    <sheet name="DASHBOARD" sheetId="6" r:id="rId3"/>
  </sheets>
  <definedNames>
    <definedName name="Slicer_Product">#N/A</definedName>
    <definedName name="Slicer_Region">#N/A</definedName>
    <definedName name="Slicer_Sales_per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8" i="1" l="1"/>
  <c r="K4" i="1"/>
  <c r="K2" i="1"/>
  <c r="I30" i="1"/>
  <c r="I29" i="1"/>
  <c r="I28" i="1"/>
  <c r="I27" i="1"/>
  <c r="I26" i="1"/>
  <c r="I25" i="1"/>
  <c r="K6" i="1" s="1"/>
  <c r="I24" i="1"/>
  <c r="I23" i="1"/>
  <c r="I22" i="1"/>
  <c r="I21" i="1"/>
  <c r="I20" i="1"/>
  <c r="I19" i="1"/>
  <c r="I18" i="1"/>
  <c r="I17" i="1"/>
  <c r="I16" i="1"/>
  <c r="I15" i="1"/>
  <c r="I14" i="1"/>
  <c r="I13" i="1"/>
  <c r="I12" i="1"/>
  <c r="I11" i="1"/>
  <c r="I10" i="1"/>
  <c r="I9" i="1"/>
  <c r="I8" i="1"/>
  <c r="I7" i="1"/>
  <c r="I6" i="1"/>
  <c r="I5" i="1"/>
  <c r="I4" i="1"/>
  <c r="I3" i="1"/>
  <c r="I2" i="1"/>
</calcChain>
</file>

<file path=xl/sharedStrings.xml><?xml version="1.0" encoding="utf-8"?>
<sst xmlns="http://schemas.openxmlformats.org/spreadsheetml/2006/main" count="137" uniqueCount="37">
  <si>
    <t>Date</t>
  </si>
  <si>
    <t>Sales person</t>
  </si>
  <si>
    <t>Region</t>
  </si>
  <si>
    <t>Product</t>
  </si>
  <si>
    <t>Units sold</t>
  </si>
  <si>
    <t>Unit price</t>
  </si>
  <si>
    <t>Cost of goods</t>
  </si>
  <si>
    <t>Total sales</t>
  </si>
  <si>
    <t>grace</t>
  </si>
  <si>
    <t>ella</t>
  </si>
  <si>
    <t>cameron</t>
  </si>
  <si>
    <t>megan</t>
  </si>
  <si>
    <t>carolyn</t>
  </si>
  <si>
    <t>virginia</t>
  </si>
  <si>
    <t>connor</t>
  </si>
  <si>
    <t>anna</t>
  </si>
  <si>
    <t>nicholas</t>
  </si>
  <si>
    <t>andrew</t>
  </si>
  <si>
    <t>west</t>
  </si>
  <si>
    <t>east</t>
  </si>
  <si>
    <t>south</t>
  </si>
  <si>
    <t>north</t>
  </si>
  <si>
    <t>tent</t>
  </si>
  <si>
    <t>blender</t>
  </si>
  <si>
    <t>action figure</t>
  </si>
  <si>
    <t>novel</t>
  </si>
  <si>
    <t>sneakers</t>
  </si>
  <si>
    <t>moisturizer</t>
  </si>
  <si>
    <t>Profit</t>
  </si>
  <si>
    <t>grand total</t>
  </si>
  <si>
    <t>units sold</t>
  </si>
  <si>
    <t>avarage sales</t>
  </si>
  <si>
    <t>total profit</t>
  </si>
  <si>
    <t>Row Labels</t>
  </si>
  <si>
    <t>Grand Total</t>
  </si>
  <si>
    <t>Sum of Total sales</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</si>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</sst>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4" x14ac:knownFonts="1">
    <font>
      <sz val="11"/>
      <color theme="1"/>
      <name val="Calibri"/>
      <family val="2"/>
      <scheme val="minor"/>
    </font>
    <font>
      <sz val="11"/>
      <color theme="0"/>
      <name val="Calibri"/>
      <family val="2"/>
      <scheme val="minor"/>
    </font>
    <font>
      <sz val="11"/>
      <color theme="1"/>
      <name val="Calibri"/>
      <family val="2"/>
      <scheme val="minor"/>
    </font>
    <font>
      <sz val="14"/>
      <color theme="4"/>
      <name val="Calibri"/>
      <family val="2"/>
      <scheme val="min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2">
    <xf numFmtId="0" fontId="0" fillId="0" borderId="0"/>
    <xf numFmtId="43" fontId="2" fillId="0" borderId="0" applyFont="0" applyFill="0" applyBorder="0" applyAlignment="0" applyProtection="0"/>
  </cellStyleXfs>
  <cellXfs count="8">
    <xf numFmtId="0" fontId="0" fillId="0" borderId="0" xfId="0"/>
    <xf numFmtId="0" fontId="1" fillId="2" borderId="0" xfId="0" applyFont="1" applyFill="1"/>
    <xf numFmtId="0" fontId="1" fillId="0" borderId="0" xfId="0" applyFont="1"/>
    <xf numFmtId="14" fontId="0" fillId="0" borderId="0" xfId="0" applyNumberFormat="1"/>
    <xf numFmtId="0" fontId="0" fillId="0" borderId="0" xfId="0" pivotButton="1"/>
    <xf numFmtId="0" fontId="0" fillId="0" borderId="0" xfId="0" applyAlignment="1">
      <alignment horizontal="left"/>
    </xf>
    <xf numFmtId="43" fontId="0" fillId="0" borderId="0" xfId="1" applyFont="1"/>
    <xf numFmtId="0" fontId="3" fillId="0" borderId="0" xfId="0" applyFont="1"/>
  </cellXfs>
  <cellStyles count="2">
    <cellStyle name="Comma" xfId="1" builtinId="3"/>
    <cellStyle name="Normal" xfId="0" builtinId="0"/>
  </cellStyles>
  <dxfs count="2">
    <dxf>
      <numFmt numFmtId="19" formatCode="dd/mm/yyyy"/>
    </dxf>
    <dxf>
      <font>
        <b val="0"/>
        <i val="0"/>
        <strike val="0"/>
        <condense val="0"/>
        <extend val="0"/>
        <outline val="0"/>
        <shadow val="0"/>
        <u val="none"/>
        <vertAlign val="baseline"/>
        <sz val="11"/>
        <color theme="0"/>
        <name val="Calibri"/>
        <family val="2"/>
        <scheme val="minor"/>
      </font>
      <fill>
        <patternFill patternType="solid">
          <fgColor indexed="64"/>
          <bgColor theme="4" tint="-0.249977111117893"/>
        </patternFill>
      </fill>
    </dxf>
  </dxfs>
  <tableStyles count="0" defaultTableStyle="TableStyleMedium2" defaultPivotStyle="PivotStyleLight16"/>
  <colors>
    <mruColors>
      <color rgb="FFACED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[DASHBOAD (Recovered).xlsx]pivot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t>
            </a:r>
          </a:p>
        </c:rich>
      </c:tx>
      <c:layout>
        <c:manualLayout>
          <c:xMode val="edge"/>
          <c:yMode val="edge"/>
          <c:x val="0.41531853972798854"/>
          <c:y val="0.9027777777777777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5555555555555545"/>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4444444444444442E-2"/>
              <c:y val="-0.10648148148148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1666666666666667"/>
              <c:y val="-0.101851851851851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333333333333333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A897-4AAF-B886-8A5CB3E8F2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97-4AAF-B886-8A5CB3E8F2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1D-4B2E-8AC0-A47D1F3A6B5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51D-4B2E-8AC0-A47D1F3A6B53}"/>
              </c:ext>
            </c:extLst>
          </c:dPt>
          <c:dLbls>
            <c:dLbl>
              <c:idx val="0"/>
              <c:layout>
                <c:manualLayout>
                  <c:x val="9.4444444444444442E-2"/>
                  <c:y val="-0.10648148148148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897-4AAF-B886-8A5CB3E8F2A9}"/>
                </c:ext>
              </c:extLst>
            </c:dLbl>
            <c:dLbl>
              <c:idx val="1"/>
              <c:layout>
                <c:manualLayout>
                  <c:x val="0.15555555555555545"/>
                  <c:y val="0.11574074074074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897-4AAF-B886-8A5CB3E8F2A9}"/>
                </c:ext>
              </c:extLst>
            </c:dLbl>
            <c:dLbl>
              <c:idx val="2"/>
              <c:layout>
                <c:manualLayout>
                  <c:x val="0.13333333333333333"/>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51D-4B2E-8AC0-A47D1F3A6B53}"/>
                </c:ext>
              </c:extLst>
            </c:dLbl>
            <c:dLbl>
              <c:idx val="3"/>
              <c:layout>
                <c:manualLayout>
                  <c:x val="-0.11666666666666667"/>
                  <c:y val="-0.101851851851851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51D-4B2E-8AC0-A47D1F3A6B5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840800</c:v>
                </c:pt>
                <c:pt idx="1">
                  <c:v>1901000</c:v>
                </c:pt>
                <c:pt idx="2">
                  <c:v>1717400</c:v>
                </c:pt>
                <c:pt idx="3">
                  <c:v>4282600</c:v>
                </c:pt>
              </c:numCache>
            </c:numRef>
          </c:val>
          <c:extLst>
            <c:ext xmlns:c16="http://schemas.microsoft.com/office/drawing/2014/chart" uri="{C3380CC4-5D6E-409C-BE32-E72D297353CC}">
              <c16:uniqueId val="{00000000-A897-4AAF-B886-8A5CB3E8F2A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[DASHBOAD (Recovered).xlsx]pivot table!PivotTable2</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85958005249341"/>
          <c:y val="0"/>
          <c:w val="0.80014041994750651"/>
          <c:h val="0.89814814814814814"/>
        </c:manualLayout>
      </c:layout>
      <c:barChart>
        <c:barDir val="bar"/>
        <c:grouping val="clustered"/>
        <c:varyColors val="0"/>
        <c:ser>
          <c:idx val="0"/>
          <c:order val="0"/>
          <c:tx>
            <c:strRef>
              <c:f>'pivot table'!$E$3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table'!$D$4:$D$10</c:f>
              <c:strCache>
                <c:ptCount val="6"/>
                <c:pt idx="0">
                  <c:v>action figure</c:v>
                </c:pt>
                <c:pt idx="1">
                  <c:v>blender</c:v>
                </c:pt>
                <c:pt idx="2">
                  <c:v>moisturizer</c:v>
                </c:pt>
                <c:pt idx="3">
                  <c:v>novel</c:v>
                </c:pt>
                <c:pt idx="4">
                  <c:v>sneakers</c:v>
                </c:pt>
                <c:pt idx="5">
                  <c:v>tent</c:v>
                </c:pt>
              </c:strCache>
            </c:strRef>
          </c:cat>
          <c:val>
            <c:numRef>
              <c:f>'pivot table'!$E$4:$E$10</c:f>
              <c:numCache>
                <c:formatCode>General</c:formatCode>
                <c:ptCount val="6"/>
                <c:pt idx="0">
                  <c:v>224400</c:v>
                </c:pt>
                <c:pt idx="1">
                  <c:v>1050000</c:v>
                </c:pt>
                <c:pt idx="2">
                  <c:v>2504400</c:v>
                </c:pt>
                <c:pt idx="3">
                  <c:v>351000</c:v>
                </c:pt>
                <c:pt idx="4">
                  <c:v>2380000</c:v>
                </c:pt>
                <c:pt idx="5">
                  <c:v>2232000</c:v>
                </c:pt>
              </c:numCache>
            </c:numRef>
          </c:val>
          <c:extLst>
            <c:ext xmlns:c16="http://schemas.microsoft.com/office/drawing/2014/chart" uri="{C3380CC4-5D6E-409C-BE32-E72D297353CC}">
              <c16:uniqueId val="{00000000-967F-47A0-A8F9-FDD0E5718866}"/>
            </c:ext>
          </c:extLst>
        </c:ser>
        <c:dLbls>
          <c:dLblPos val="outEnd"/>
          <c:showLegendKey val="0"/>
          <c:showVal val="1"/>
          <c:showCatName val="0"/>
          <c:showSerName val="0"/>
          <c:showPercent val="0"/>
          <c:showBubbleSize val="0"/>
        </c:dLbls>
        <c:gapWidth val="60"/>
        <c:axId val="352049759"/>
        <c:axId val="351867759"/>
      </c:barChart>
      <c:catAx>
        <c:axId val="352049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867759"/>
        <c:crosses val="autoZero"/>
        <c:auto val="1"/>
        <c:lblAlgn val="ctr"/>
        <c:lblOffset val="100"/>
        <c:noMultiLvlLbl val="0"/>
      </c:catAx>
      <c:valAx>
        <c:axId val="351867759"/>
        <c:scaling>
          <c:orientation val="minMax"/>
        </c:scaling>
        <c:delete val="1"/>
        <c:axPos val="b"/>
        <c:numFmt formatCode="General" sourceLinked="1"/>
        <c:majorTickMark val="none"/>
        <c:minorTickMark val="none"/>
        <c:tickLblPos val="nextTo"/>
        <c:crossAx val="352049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[DASHBOAD (Recovered).xlsx]pivot table!PivotTable3</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340113735783027E-2"/>
          <c:y val="7.407407407407407E-2"/>
          <c:w val="0.93888888888888888"/>
          <c:h val="0.8416746864975212"/>
        </c:manualLayout>
      </c:layout>
      <c:barChart>
        <c:barDir val="col"/>
        <c:grouping val="clustered"/>
        <c:varyColors val="0"/>
        <c:ser>
          <c:idx val="0"/>
          <c:order val="0"/>
          <c:tx>
            <c:strRef>
              <c:f>'pivot table'!$H$3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table'!$G$4:$G$13</c:f>
              <c:strCache>
                <c:ptCount val="9"/>
                <c:pt idx="0">
                  <c:v>andrew</c:v>
                </c:pt>
                <c:pt idx="1">
                  <c:v>anna</c:v>
                </c:pt>
                <c:pt idx="2">
                  <c:v>cameron</c:v>
                </c:pt>
                <c:pt idx="3">
                  <c:v>carolyn</c:v>
                </c:pt>
                <c:pt idx="4">
                  <c:v>connor</c:v>
                </c:pt>
                <c:pt idx="5">
                  <c:v>ella</c:v>
                </c:pt>
                <c:pt idx="6">
                  <c:v>grace</c:v>
                </c:pt>
                <c:pt idx="7">
                  <c:v>megan</c:v>
                </c:pt>
                <c:pt idx="8">
                  <c:v>virginia</c:v>
                </c:pt>
              </c:strCache>
            </c:strRef>
          </c:cat>
          <c:val>
            <c:numRef>
              <c:f>'pivot table'!$H$4:$H$13</c:f>
              <c:numCache>
                <c:formatCode>General</c:formatCode>
                <c:ptCount val="9"/>
                <c:pt idx="0">
                  <c:v>677400</c:v>
                </c:pt>
                <c:pt idx="1">
                  <c:v>268600</c:v>
                </c:pt>
                <c:pt idx="2">
                  <c:v>91000</c:v>
                </c:pt>
                <c:pt idx="3">
                  <c:v>2221200</c:v>
                </c:pt>
                <c:pt idx="4">
                  <c:v>2330000</c:v>
                </c:pt>
                <c:pt idx="5">
                  <c:v>1315200</c:v>
                </c:pt>
                <c:pt idx="6">
                  <c:v>1028000</c:v>
                </c:pt>
                <c:pt idx="7">
                  <c:v>732400</c:v>
                </c:pt>
                <c:pt idx="8">
                  <c:v>78000</c:v>
                </c:pt>
              </c:numCache>
            </c:numRef>
          </c:val>
          <c:extLst>
            <c:ext xmlns:c16="http://schemas.microsoft.com/office/drawing/2014/chart" uri="{C3380CC4-5D6E-409C-BE32-E72D297353CC}">
              <c16:uniqueId val="{00000000-FC8B-4E69-AB7B-88A406E09165}"/>
            </c:ext>
          </c:extLst>
        </c:ser>
        <c:dLbls>
          <c:showLegendKey val="0"/>
          <c:showVal val="0"/>
          <c:showCatName val="0"/>
          <c:showSerName val="0"/>
          <c:showPercent val="0"/>
          <c:showBubbleSize val="0"/>
        </c:dLbls>
        <c:gapWidth val="83"/>
        <c:overlap val="-27"/>
        <c:axId val="370871903"/>
        <c:axId val="370868543"/>
      </c:barChart>
      <c:catAx>
        <c:axId val="37087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868543"/>
        <c:crosses val="autoZero"/>
        <c:auto val="1"/>
        <c:lblAlgn val="ctr"/>
        <c:lblOffset val="100"/>
        <c:noMultiLvlLbl val="0"/>
      </c:catAx>
      <c:valAx>
        <c:axId val="370868543"/>
        <c:scaling>
          <c:orientation val="minMax"/>
        </c:scaling>
        <c:delete val="1"/>
        <c:axPos val="l"/>
        <c:numFmt formatCode="General" sourceLinked="1"/>
        <c:majorTickMark val="none"/>
        <c:minorTickMark val="none"/>
        <c:tickLblPos val="nextTo"/>
        <c:crossAx val="37087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[DASHBOAD (Recovered).xlsx]pivot table!PivotTable4</c:name>
    <c:fmtId val="5"/>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3.4687591134441531E-2"/>
          <c:w val="0.92075240594925634"/>
          <c:h val="0.87871172353455818"/>
        </c:manualLayout>
      </c:layout>
      <c:lineChart>
        <c:grouping val="standard"/>
        <c:varyColors val="0"/>
        <c:ser>
          <c:idx val="0"/>
          <c:order val="0"/>
          <c:tx>
            <c:strRef>
              <c:f>'pivot table'!$K$3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table'!$J$4:$J$10</c:f>
              <c:strCache>
                <c:ptCount val="6"/>
                <c:pt idx="0">
                  <c:v>action figure</c:v>
                </c:pt>
                <c:pt idx="1">
                  <c:v>blender</c:v>
                </c:pt>
                <c:pt idx="2">
                  <c:v>moisturizer</c:v>
                </c:pt>
                <c:pt idx="3">
                  <c:v>novel</c:v>
                </c:pt>
                <c:pt idx="4">
                  <c:v>sneakers</c:v>
                </c:pt>
                <c:pt idx="5">
                  <c:v>tent</c:v>
                </c:pt>
              </c:strCache>
            </c:strRef>
          </c:cat>
          <c:val>
            <c:numRef>
              <c:f>'pivot table'!$K$4:$K$10</c:f>
              <c:numCache>
                <c:formatCode>General</c:formatCode>
                <c:ptCount val="6"/>
                <c:pt idx="0">
                  <c:v>242</c:v>
                </c:pt>
                <c:pt idx="1">
                  <c:v>300</c:v>
                </c:pt>
                <c:pt idx="2">
                  <c:v>790</c:v>
                </c:pt>
                <c:pt idx="3">
                  <c:v>488</c:v>
                </c:pt>
                <c:pt idx="4">
                  <c:v>595</c:v>
                </c:pt>
                <c:pt idx="5">
                  <c:v>424</c:v>
                </c:pt>
              </c:numCache>
            </c:numRef>
          </c:val>
          <c:smooth val="0"/>
          <c:extLst>
            <c:ext xmlns:c16="http://schemas.microsoft.com/office/drawing/2014/chart" uri="{C3380CC4-5D6E-409C-BE32-E72D297353CC}">
              <c16:uniqueId val="{00000000-A3EA-4403-9E07-089BFB603E1D}"/>
            </c:ext>
          </c:extLst>
        </c:ser>
        <c:dLbls>
          <c:dLblPos val="t"/>
          <c:showLegendKey val="0"/>
          <c:showVal val="1"/>
          <c:showCatName val="0"/>
          <c:showSerName val="0"/>
          <c:showPercent val="0"/>
          <c:showBubbleSize val="0"/>
        </c:dLbls>
        <c:marker val="1"/>
        <c:smooth val="0"/>
        <c:axId val="452793919"/>
        <c:axId val="452794879"/>
      </c:lineChart>
      <c:catAx>
        <c:axId val="45279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794879"/>
        <c:crosses val="autoZero"/>
        <c:auto val="1"/>
        <c:lblAlgn val="ctr"/>
        <c:lblOffset val="100"/>
        <c:noMultiLvlLbl val="0"/>
      </c:catAx>
      <c:valAx>
        <c:axId val="452794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793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[DASHBOAD (Recovered).xlsx]pivot table!PivotTable4</c:name>
    <c:fmtId val="18"/>
  </c:pivotSource>
  <c:chart>
    <c:autoTitleDeleted val="1"/>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3.4687591134441531E-2"/>
          <c:w val="0.92075240594925634"/>
          <c:h val="0.87871172353455818"/>
        </c:manualLayout>
      </c:layout>
      <c:lineChart>
        <c:grouping val="standard"/>
        <c:varyColors val="0"/>
        <c:ser>
          <c:idx val="0"/>
          <c:order val="0"/>
          <c:tx>
            <c:strRef>
              <c:f>'pivot table'!$K$3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table'!$J$4:$J$10</c:f>
              <c:strCache>
                <c:ptCount val="6"/>
                <c:pt idx="0">
                  <c:v>action figure</c:v>
                </c:pt>
                <c:pt idx="1">
                  <c:v>blender</c:v>
                </c:pt>
                <c:pt idx="2">
                  <c:v>moisturizer</c:v>
                </c:pt>
                <c:pt idx="3">
                  <c:v>novel</c:v>
                </c:pt>
                <c:pt idx="4">
                  <c:v>sneakers</c:v>
                </c:pt>
                <c:pt idx="5">
                  <c:v>tent</c:v>
                </c:pt>
              </c:strCache>
            </c:strRef>
          </c:cat>
          <c:val>
            <c:numRef>
              <c:f>'pivot table'!$K$4:$K$10</c:f>
              <c:numCache>
                <c:formatCode>General</c:formatCode>
                <c:ptCount val="6"/>
                <c:pt idx="0">
                  <c:v>242</c:v>
                </c:pt>
                <c:pt idx="1">
                  <c:v>300</c:v>
                </c:pt>
                <c:pt idx="2">
                  <c:v>790</c:v>
                </c:pt>
                <c:pt idx="3">
                  <c:v>488</c:v>
                </c:pt>
                <c:pt idx="4">
                  <c:v>595</c:v>
                </c:pt>
                <c:pt idx="5">
                  <c:v>424</c:v>
                </c:pt>
              </c:numCache>
            </c:numRef>
          </c:val>
          <c:smooth val="0"/>
          <c:extLst>
            <c:ext xmlns:c16="http://schemas.microsoft.com/office/drawing/2014/chart" uri="{C3380CC4-5D6E-409C-BE32-E72D297353CC}">
              <c16:uniqueId val="{00000000-7952-41D4-843B-D2BE03A65F57}"/>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52793919"/>
        <c:axId val="452794879"/>
      </c:lineChart>
      <c:catAx>
        <c:axId val="45279391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452794879"/>
        <c:crosses val="autoZero"/>
        <c:auto val="1"/>
        <c:lblAlgn val="ctr"/>
        <c:lblOffset val="100"/>
        <c:noMultiLvlLbl val="0"/>
      </c:catAx>
      <c:valAx>
        <c:axId val="452794879"/>
        <c:scaling>
          <c:orientation val="minMax"/>
        </c:scaling>
        <c:delete val="1"/>
        <c:axPos val="l"/>
        <c:numFmt formatCode="General" sourceLinked="1"/>
        <c:majorTickMark val="none"/>
        <c:minorTickMark val="none"/>
        <c:tickLblPos val="nextTo"/>
        <c:crossAx val="452793919"/>
        <c:crosses val="autoZero"/>
        <c:crossBetween val="between"/>
      </c:valAx>
      <c:spPr>
        <a:solidFill>
          <a:schemeClr val="accent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[DASHBOAD (Recovered).xlsx]pivot table!PivotTable2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85958005249341"/>
          <c:y val="0"/>
          <c:w val="0.80014041994750651"/>
          <c:h val="0.89814814814814814"/>
        </c:manualLayout>
      </c:layout>
      <c:barChart>
        <c:barDir val="bar"/>
        <c:grouping val="clustered"/>
        <c:varyColors val="0"/>
        <c:ser>
          <c:idx val="0"/>
          <c:order val="0"/>
          <c:tx>
            <c:strRef>
              <c:f>'pivot table'!$E$3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table'!$D$4:$D$10</c:f>
              <c:strCache>
                <c:ptCount val="6"/>
                <c:pt idx="0">
                  <c:v>action figure</c:v>
                </c:pt>
                <c:pt idx="1">
                  <c:v>blender</c:v>
                </c:pt>
                <c:pt idx="2">
                  <c:v>moisturizer</c:v>
                </c:pt>
                <c:pt idx="3">
                  <c:v>novel</c:v>
                </c:pt>
                <c:pt idx="4">
                  <c:v>sneakers</c:v>
                </c:pt>
                <c:pt idx="5">
                  <c:v>tent</c:v>
                </c:pt>
              </c:strCache>
            </c:strRef>
          </c:cat>
          <c:val>
            <c:numRef>
              <c:f>'pivot table'!$E$4:$E$10</c:f>
              <c:numCache>
                <c:formatCode>General</c:formatCode>
                <c:ptCount val="6"/>
                <c:pt idx="0">
                  <c:v>224400</c:v>
                </c:pt>
                <c:pt idx="1">
                  <c:v>1050000</c:v>
                </c:pt>
                <c:pt idx="2">
                  <c:v>2504400</c:v>
                </c:pt>
                <c:pt idx="3">
                  <c:v>351000</c:v>
                </c:pt>
                <c:pt idx="4">
                  <c:v>2380000</c:v>
                </c:pt>
                <c:pt idx="5">
                  <c:v>2232000</c:v>
                </c:pt>
              </c:numCache>
            </c:numRef>
          </c:val>
          <c:extLst>
            <c:ext xmlns:c16="http://schemas.microsoft.com/office/drawing/2014/chart" uri="{C3380CC4-5D6E-409C-BE32-E72D297353CC}">
              <c16:uniqueId val="{00000000-1DAD-4FD7-87F5-19378605B75E}"/>
            </c:ext>
          </c:extLst>
        </c:ser>
        <c:dLbls>
          <c:dLblPos val="outEnd"/>
          <c:showLegendKey val="0"/>
          <c:showVal val="1"/>
          <c:showCatName val="0"/>
          <c:showSerName val="0"/>
          <c:showPercent val="0"/>
          <c:showBubbleSize val="0"/>
        </c:dLbls>
        <c:gapWidth val="60"/>
        <c:axId val="352049759"/>
        <c:axId val="351867759"/>
      </c:barChart>
      <c:catAx>
        <c:axId val="352049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867759"/>
        <c:crosses val="autoZero"/>
        <c:auto val="1"/>
        <c:lblAlgn val="ctr"/>
        <c:lblOffset val="100"/>
        <c:noMultiLvlLbl val="0"/>
      </c:catAx>
      <c:valAx>
        <c:axId val="351867759"/>
        <c:scaling>
          <c:orientation val="minMax"/>
        </c:scaling>
        <c:delete val="1"/>
        <c:axPos val="b"/>
        <c:numFmt formatCode="General" sourceLinked="1"/>
        <c:majorTickMark val="none"/>
        <c:minorTickMark val="none"/>
        <c:tickLblPos val="nextTo"/>
        <c:crossAx val="352049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[DASHBOAD (Recovered).xlsx]pivot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5555555555555545"/>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4444444444444442E-2"/>
              <c:y val="-0.10648148148148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0.11666666666666667"/>
              <c:y val="-0.101851851851851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layout>
            <c:manualLayout>
              <c:x val="0.1333333333333333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9.4444444444444442E-2"/>
              <c:y val="-0.10648148148148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5555555555555545"/>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333333333333333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1666666666666667"/>
              <c:y val="-0.101851851851851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7.8589986666718986E-2"/>
              <c:y val="-0.106682424937902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1309290764235158"/>
              <c:y val="6.9575494524718937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4187127180543858E-2"/>
                  <c:h val="0.14371996246940777"/>
                </c:manualLayout>
              </c15:layout>
            </c:ext>
          </c:extLst>
        </c:dLbl>
      </c:pivotFmt>
      <c:pivotFmt>
        <c:idx val="13"/>
        <c:spPr>
          <a:solidFill>
            <a:schemeClr val="accent1"/>
          </a:solidFill>
          <a:ln w="19050">
            <a:solidFill>
              <a:schemeClr val="lt1"/>
            </a:solidFill>
          </a:ln>
          <a:effectLst/>
        </c:spPr>
        <c:dLbl>
          <c:idx val="0"/>
          <c:layout>
            <c:manualLayout>
              <c:x val="9.9675105040716694E-2"/>
              <c:y val="6.49371282230710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9.0090960325263231E-2"/>
              <c:y val="-3.710674780033695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2686153521999627E-2"/>
                  <c:h val="4.1675903833153213E-2"/>
                </c:manualLayout>
              </c15:layout>
            </c:ext>
          </c:extLst>
        </c:dLbl>
      </c:pivotFmt>
    </c:pivotFmts>
    <c:plotArea>
      <c:layout>
        <c:manualLayout>
          <c:layoutTarget val="inner"/>
          <c:xMode val="edge"/>
          <c:yMode val="edge"/>
          <c:x val="0.29911002912755397"/>
          <c:y val="0.26930611291382384"/>
          <c:w val="0.24082006776060333"/>
          <c:h val="0.5771913627459383"/>
        </c:manualLayout>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59-4D21-B6B3-6F27B85D0F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59-4D21-B6B3-6F27B85D0F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59-4D21-B6B3-6F27B85D0F2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559-4D21-B6B3-6F27B85D0F2A}"/>
              </c:ext>
            </c:extLst>
          </c:dPt>
          <c:dLbls>
            <c:dLbl>
              <c:idx val="0"/>
              <c:layout>
                <c:manualLayout>
                  <c:x val="7.8589986666718986E-2"/>
                  <c:y val="-0.106682424937902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559-4D21-B6B3-6F27B85D0F2A}"/>
                </c:ext>
              </c:extLst>
            </c:dLbl>
            <c:dLbl>
              <c:idx val="1"/>
              <c:layout>
                <c:manualLayout>
                  <c:x val="0.11309290764235158"/>
                  <c:y val="6.9575494524718937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4187127180543858E-2"/>
                      <c:h val="0.14371996246940777"/>
                    </c:manualLayout>
                  </c15:layout>
                </c:ext>
                <c:ext xmlns:c16="http://schemas.microsoft.com/office/drawing/2014/chart" uri="{C3380CC4-5D6E-409C-BE32-E72D297353CC}">
                  <c16:uniqueId val="{00000003-8559-4D21-B6B3-6F27B85D0F2A}"/>
                </c:ext>
              </c:extLst>
            </c:dLbl>
            <c:dLbl>
              <c:idx val="2"/>
              <c:layout>
                <c:manualLayout>
                  <c:x val="9.9675105040716694E-2"/>
                  <c:y val="6.49371282230710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559-4D21-B6B3-6F27B85D0F2A}"/>
                </c:ext>
              </c:extLst>
            </c:dLbl>
            <c:dLbl>
              <c:idx val="3"/>
              <c:layout>
                <c:manualLayout>
                  <c:x val="-9.0090960325263231E-2"/>
                  <c:y val="-3.710674780033695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2686153521999627E-2"/>
                      <c:h val="4.1675903833153213E-2"/>
                    </c:manualLayout>
                  </c15:layout>
                </c:ext>
                <c:ext xmlns:c16="http://schemas.microsoft.com/office/drawing/2014/chart" uri="{C3380CC4-5D6E-409C-BE32-E72D297353CC}">
                  <c16:uniqueId val="{00000007-8559-4D21-B6B3-6F27B85D0F2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840800</c:v>
                </c:pt>
                <c:pt idx="1">
                  <c:v>1901000</c:v>
                </c:pt>
                <c:pt idx="2">
                  <c:v>1717400</c:v>
                </c:pt>
                <c:pt idx="3">
                  <c:v>4282600</c:v>
                </c:pt>
              </c:numCache>
            </c:numRef>
          </c:val>
          <c:extLst>
            <c:ext xmlns:c16="http://schemas.microsoft.com/office/drawing/2014/chart" uri="{C3380CC4-5D6E-409C-BE32-E72D297353CC}">
              <c16:uniqueId val="{00000008-8559-4D21-B6B3-6F27B85D0F2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[DASHBOAD (Recovered).xlsx]pivot table!PivotTable3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340113735783027E-2"/>
          <c:y val="7.407407407407407E-2"/>
          <c:w val="0.93888888888888888"/>
          <c:h val="0.8416746864975212"/>
        </c:manualLayout>
      </c:layout>
      <c:barChart>
        <c:barDir val="col"/>
        <c:grouping val="clustered"/>
        <c:varyColors val="0"/>
        <c:ser>
          <c:idx val="0"/>
          <c:order val="0"/>
          <c:tx>
            <c:strRef>
              <c:f>'pivot table'!$H$3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table'!$G$4:$G$13</c:f>
              <c:strCache>
                <c:ptCount val="9"/>
                <c:pt idx="0">
                  <c:v>andrew</c:v>
                </c:pt>
                <c:pt idx="1">
                  <c:v>anna</c:v>
                </c:pt>
                <c:pt idx="2">
                  <c:v>cameron</c:v>
                </c:pt>
                <c:pt idx="3">
                  <c:v>carolyn</c:v>
                </c:pt>
                <c:pt idx="4">
                  <c:v>connor</c:v>
                </c:pt>
                <c:pt idx="5">
                  <c:v>ella</c:v>
                </c:pt>
                <c:pt idx="6">
                  <c:v>grace</c:v>
                </c:pt>
                <c:pt idx="7">
                  <c:v>megan</c:v>
                </c:pt>
                <c:pt idx="8">
                  <c:v>virginia</c:v>
                </c:pt>
              </c:strCache>
            </c:strRef>
          </c:cat>
          <c:val>
            <c:numRef>
              <c:f>'pivot table'!$H$4:$H$13</c:f>
              <c:numCache>
                <c:formatCode>General</c:formatCode>
                <c:ptCount val="9"/>
                <c:pt idx="0">
                  <c:v>677400</c:v>
                </c:pt>
                <c:pt idx="1">
                  <c:v>268600</c:v>
                </c:pt>
                <c:pt idx="2">
                  <c:v>91000</c:v>
                </c:pt>
                <c:pt idx="3">
                  <c:v>2221200</c:v>
                </c:pt>
                <c:pt idx="4">
                  <c:v>2330000</c:v>
                </c:pt>
                <c:pt idx="5">
                  <c:v>1315200</c:v>
                </c:pt>
                <c:pt idx="6">
                  <c:v>1028000</c:v>
                </c:pt>
                <c:pt idx="7">
                  <c:v>732400</c:v>
                </c:pt>
                <c:pt idx="8">
                  <c:v>78000</c:v>
                </c:pt>
              </c:numCache>
            </c:numRef>
          </c:val>
          <c:extLst>
            <c:ext xmlns:c16="http://schemas.microsoft.com/office/drawing/2014/chart" uri="{C3380CC4-5D6E-409C-BE32-E72D297353CC}">
              <c16:uniqueId val="{00000000-D1CB-4D59-BC03-5F73BDF15741}"/>
            </c:ext>
          </c:extLst>
        </c:ser>
        <c:dLbls>
          <c:showLegendKey val="0"/>
          <c:showVal val="0"/>
          <c:showCatName val="0"/>
          <c:showSerName val="0"/>
          <c:showPercent val="0"/>
          <c:showBubbleSize val="0"/>
        </c:dLbls>
        <c:gapWidth val="83"/>
        <c:overlap val="-27"/>
        <c:axId val="370871903"/>
        <c:axId val="370868543"/>
      </c:barChart>
      <c:catAx>
        <c:axId val="37087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868543"/>
        <c:crosses val="autoZero"/>
        <c:auto val="1"/>
        <c:lblAlgn val="ctr"/>
        <c:lblOffset val="100"/>
        <c:noMultiLvlLbl val="0"/>
      </c:catAx>
      <c:valAx>
        <c:axId val="370868543"/>
        <c:scaling>
          <c:orientation val="minMax"/>
        </c:scaling>
        <c:delete val="1"/>
        <c:axPos val="l"/>
        <c:numFmt formatCode="General" sourceLinked="1"/>
        <c:majorTickMark val="none"/>
        <c:minorTickMark val="none"/>
        <c:tickLblPos val="nextTo"/>
        <c:crossAx val="370871903"/>
        <c:crosses val="autoZero"/>
        <c:crossBetween val="between"/>
      </c:valAx>
      <c:spPr>
        <a:solidFill>
          <a:sysClr val="window" lastClr="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8.xml"/><Relationship Id="rId2" Type="http://schemas.openxmlformats.org/officeDocument/2006/relationships/image" Target="../media/image2.svg"/><Relationship Id="rId16" Type="http://schemas.openxmlformats.org/officeDocument/2006/relationships/image" Target="../media/image1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5" Type="http://schemas.openxmlformats.org/officeDocument/2006/relationships/image" Target="../media/image11.png"/><Relationship Id="rId10" Type="http://schemas.openxmlformats.org/officeDocument/2006/relationships/chart" Target="../charts/chart6.xml"/><Relationship Id="rId4" Type="http://schemas.openxmlformats.org/officeDocument/2006/relationships/image" Target="../media/image4.svg"/><Relationship Id="rId9" Type="http://schemas.openxmlformats.org/officeDocument/2006/relationships/chart" Target="../charts/chart5.xml"/><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11</xdr:col>
      <xdr:colOff>349431</xdr:colOff>
      <xdr:row>19</xdr:row>
      <xdr:rowOff>18505</xdr:rowOff>
    </xdr:from>
    <xdr:to>
      <xdr:col>16</xdr:col>
      <xdr:colOff>151311</xdr:colOff>
      <xdr:row>34</xdr:row>
      <xdr:rowOff>18505</xdr:rowOff>
    </xdr:to>
    <xdr:graphicFrame macro="">
      <xdr:nvGraphicFramePr>
        <xdr:cNvPr id="2" name="Chart 1">
          <a:extLst>
            <a:ext uri="{FF2B5EF4-FFF2-40B4-BE49-F238E27FC236}">
              <a16:creationId xmlns:a16="http://schemas.microsoft.com/office/drawing/2014/main" id="{302F8510-7724-46B3-E44A-72B518C67A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30</xdr:row>
      <xdr:rowOff>129540</xdr:rowOff>
    </xdr:from>
    <xdr:to>
      <xdr:col>5</xdr:col>
      <xdr:colOff>220980</xdr:colOff>
      <xdr:row>40</xdr:row>
      <xdr:rowOff>167640</xdr:rowOff>
    </xdr:to>
    <xdr:graphicFrame macro="">
      <xdr:nvGraphicFramePr>
        <xdr:cNvPr id="3" name="Chart 2">
          <a:extLst>
            <a:ext uri="{FF2B5EF4-FFF2-40B4-BE49-F238E27FC236}">
              <a16:creationId xmlns:a16="http://schemas.microsoft.com/office/drawing/2014/main" id="{BA616298-FE32-B7BD-413A-D3176C1B84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571500</xdr:colOff>
      <xdr:row>17</xdr:row>
      <xdr:rowOff>148590</xdr:rowOff>
    </xdr:from>
    <xdr:to>
      <xdr:col>11</xdr:col>
      <xdr:colOff>7620</xdr:colOff>
      <xdr:row>32</xdr:row>
      <xdr:rowOff>148590</xdr:rowOff>
    </xdr:to>
    <xdr:graphicFrame macro="">
      <xdr:nvGraphicFramePr>
        <xdr:cNvPr id="4" name="Chart 3">
          <a:extLst>
            <a:ext uri="{FF2B5EF4-FFF2-40B4-BE49-F238E27FC236}">
              <a16:creationId xmlns:a16="http://schemas.microsoft.com/office/drawing/2014/main" id="{A570A58E-70FD-39DF-9BC4-56C8F25ECB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571500</xdr:colOff>
      <xdr:row>18</xdr:row>
      <xdr:rowOff>53340</xdr:rowOff>
    </xdr:from>
    <xdr:to>
      <xdr:col>5</xdr:col>
      <xdr:colOff>251460</xdr:colOff>
      <xdr:row>26</xdr:row>
      <xdr:rowOff>83820</xdr:rowOff>
    </xdr:to>
    <xdr:graphicFrame macro="">
      <xdr:nvGraphicFramePr>
        <xdr:cNvPr id="5" name="Chart 4">
          <a:extLst>
            <a:ext uri="{FF2B5EF4-FFF2-40B4-BE49-F238E27FC236}">
              <a16:creationId xmlns:a16="http://schemas.microsoft.com/office/drawing/2014/main" id="{F7DEEB5E-378B-4A2A-F611-10E2EE77F3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22860</xdr:colOff>
      <xdr:row>6</xdr:row>
      <xdr:rowOff>15239</xdr:rowOff>
    </xdr:from>
    <xdr:to>
      <xdr:col>21</xdr:col>
      <xdr:colOff>22860</xdr:colOff>
      <xdr:row>10</xdr:row>
      <xdr:rowOff>7620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273C774E-FBC1-7C5A-0B70-CAEF11C914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967460" y="1125582"/>
              <a:ext cx="1828800" cy="7326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320040</xdr:colOff>
      <xdr:row>11</xdr:row>
      <xdr:rowOff>0</xdr:rowOff>
    </xdr:from>
    <xdr:to>
      <xdr:col>19</xdr:col>
      <xdr:colOff>228600</xdr:colOff>
      <xdr:row>24</xdr:row>
      <xdr:rowOff>89535</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9052BB3D-E841-EC3A-073E-6C242176A5F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3655040" y="2035629"/>
              <a:ext cx="1127760" cy="24952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313554</xdr:colOff>
      <xdr:row>0</xdr:row>
      <xdr:rowOff>27214</xdr:rowOff>
    </xdr:from>
    <xdr:to>
      <xdr:col>22</xdr:col>
      <xdr:colOff>13608</xdr:colOff>
      <xdr:row>4</xdr:row>
      <xdr:rowOff>168017</xdr:rowOff>
    </xdr:to>
    <xdr:sp macro="" textlink="">
      <xdr:nvSpPr>
        <xdr:cNvPr id="2" name="Rectangle: Rounded Corners 1">
          <a:extLst>
            <a:ext uri="{FF2B5EF4-FFF2-40B4-BE49-F238E27FC236}">
              <a16:creationId xmlns:a16="http://schemas.microsoft.com/office/drawing/2014/main" id="{8F4DB98B-9520-EFB3-BA4E-05AAB361CFFC}"/>
            </a:ext>
          </a:extLst>
        </xdr:cNvPr>
        <xdr:cNvSpPr/>
      </xdr:nvSpPr>
      <xdr:spPr>
        <a:xfrm flipV="1">
          <a:off x="313554" y="27214"/>
          <a:ext cx="13171125" cy="848374"/>
        </a:xfrm>
        <a:prstGeom prst="roundRect">
          <a:avLst/>
        </a:prstGeom>
        <a:solidFill>
          <a:sysClr val="window" lastClr="FFFFFF"/>
        </a:solidFill>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513522</xdr:colOff>
      <xdr:row>15</xdr:row>
      <xdr:rowOff>82826</xdr:rowOff>
    </xdr:from>
    <xdr:ext cx="184731" cy="264560"/>
    <xdr:sp macro="" textlink="">
      <xdr:nvSpPr>
        <xdr:cNvPr id="9" name="TextBox 8">
          <a:extLst>
            <a:ext uri="{FF2B5EF4-FFF2-40B4-BE49-F238E27FC236}">
              <a16:creationId xmlns:a16="http://schemas.microsoft.com/office/drawing/2014/main" id="{1CA9C9CC-0AB3-CF2A-E44D-0327A4C77EA6}"/>
            </a:ext>
          </a:extLst>
        </xdr:cNvPr>
        <xdr:cNvSpPr txBox="1"/>
      </xdr:nvSpPr>
      <xdr:spPr>
        <a:xfrm>
          <a:off x="1739348" y="281608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0</xdr:colOff>
      <xdr:row>6</xdr:row>
      <xdr:rowOff>165653</xdr:rowOff>
    </xdr:from>
    <xdr:to>
      <xdr:col>3</xdr:col>
      <xdr:colOff>580571</xdr:colOff>
      <xdr:row>11</xdr:row>
      <xdr:rowOff>87086</xdr:rowOff>
    </xdr:to>
    <xdr:grpSp>
      <xdr:nvGrpSpPr>
        <xdr:cNvPr id="32" name="Group 31">
          <a:extLst>
            <a:ext uri="{FF2B5EF4-FFF2-40B4-BE49-F238E27FC236}">
              <a16:creationId xmlns:a16="http://schemas.microsoft.com/office/drawing/2014/main" id="{B1E7175A-8B7F-66AD-8989-8F0A8351FCE6}"/>
            </a:ext>
          </a:extLst>
        </xdr:cNvPr>
        <xdr:cNvGrpSpPr/>
      </xdr:nvGrpSpPr>
      <xdr:grpSpPr>
        <a:xfrm>
          <a:off x="0" y="1227010"/>
          <a:ext cx="2417535" cy="805897"/>
          <a:chOff x="0" y="1258957"/>
          <a:chExt cx="2385391" cy="761516"/>
        </a:xfrm>
      </xdr:grpSpPr>
      <xdr:sp macro="" textlink="">
        <xdr:nvSpPr>
          <xdr:cNvPr id="4" name="Rectangle: Rounded Corners 3">
            <a:extLst>
              <a:ext uri="{FF2B5EF4-FFF2-40B4-BE49-F238E27FC236}">
                <a16:creationId xmlns:a16="http://schemas.microsoft.com/office/drawing/2014/main" id="{93F54CA9-E7E7-4E86-8580-38C1190F595E}"/>
              </a:ext>
            </a:extLst>
          </xdr:cNvPr>
          <xdr:cNvSpPr/>
        </xdr:nvSpPr>
        <xdr:spPr>
          <a:xfrm flipV="1">
            <a:off x="0" y="1267239"/>
            <a:ext cx="2385391" cy="69574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y</a:t>
            </a:r>
          </a:p>
        </xdr:txBody>
      </xdr:sp>
      <xdr:sp macro="" textlink="">
        <xdr:nvSpPr>
          <xdr:cNvPr id="5" name="Rectangle: Rounded Corners 4">
            <a:extLst>
              <a:ext uri="{FF2B5EF4-FFF2-40B4-BE49-F238E27FC236}">
                <a16:creationId xmlns:a16="http://schemas.microsoft.com/office/drawing/2014/main" id="{4F692611-3C90-4604-8A5C-217C0DFF8F02}"/>
              </a:ext>
            </a:extLst>
          </xdr:cNvPr>
          <xdr:cNvSpPr/>
        </xdr:nvSpPr>
        <xdr:spPr>
          <a:xfrm rot="5400000" flipV="1">
            <a:off x="8284" y="1258956"/>
            <a:ext cx="704022" cy="704023"/>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TextBox 5">
            <a:extLst>
              <a:ext uri="{FF2B5EF4-FFF2-40B4-BE49-F238E27FC236}">
                <a16:creationId xmlns:a16="http://schemas.microsoft.com/office/drawing/2014/main" id="{38DC6408-1340-DF4B-593B-F29EC3DD2653}"/>
              </a:ext>
            </a:extLst>
          </xdr:cNvPr>
          <xdr:cNvSpPr txBox="1"/>
        </xdr:nvSpPr>
        <xdr:spPr>
          <a:xfrm>
            <a:off x="861392" y="1325217"/>
            <a:ext cx="1374912" cy="6952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a:solidFill>
                  <a:schemeClr val="accent1"/>
                </a:solidFill>
              </a:rPr>
              <a:t>TOTAL</a:t>
            </a:r>
            <a:r>
              <a:rPr lang="en-IN" sz="1600" baseline="0">
                <a:solidFill>
                  <a:schemeClr val="accent1"/>
                </a:solidFill>
              </a:rPr>
              <a:t> SALES</a:t>
            </a:r>
            <a:endParaRPr lang="en-IN" sz="1600">
              <a:solidFill>
                <a:schemeClr val="accent1"/>
              </a:solidFill>
            </a:endParaRPr>
          </a:p>
        </xdr:txBody>
      </xdr:sp>
      <xdr:sp macro="" textlink="'sales data'!K2">
        <xdr:nvSpPr>
          <xdr:cNvPr id="10" name="TextBox 9">
            <a:extLst>
              <a:ext uri="{FF2B5EF4-FFF2-40B4-BE49-F238E27FC236}">
                <a16:creationId xmlns:a16="http://schemas.microsoft.com/office/drawing/2014/main" id="{CA57B352-3F0E-EB6A-84F1-31F7189550ED}"/>
              </a:ext>
            </a:extLst>
          </xdr:cNvPr>
          <xdr:cNvSpPr txBox="1"/>
        </xdr:nvSpPr>
        <xdr:spPr>
          <a:xfrm rot="10800000" flipV="1">
            <a:off x="1051889" y="1557130"/>
            <a:ext cx="894521" cy="3892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6B476D0-B133-4B50-99F6-016E93B0A3C6}" type="TxLink">
              <a:rPr lang="en-US" sz="1800" b="0" i="0" u="none" strike="noStrike">
                <a:solidFill>
                  <a:srgbClr val="000000"/>
                </a:solidFill>
                <a:latin typeface="Calibri"/>
                <a:ea typeface="Calibri"/>
                <a:cs typeface="Calibri"/>
              </a:rPr>
              <a:pPr/>
              <a:t>9256800</a:t>
            </a:fld>
            <a:endParaRPr lang="en-IN" sz="1800"/>
          </a:p>
        </xdr:txBody>
      </xdr:sp>
    </xdr:grpSp>
    <xdr:clientData/>
  </xdr:twoCellAnchor>
  <xdr:twoCellAnchor>
    <xdr:from>
      <xdr:col>4</xdr:col>
      <xdr:colOff>49695</xdr:colOff>
      <xdr:row>7</xdr:row>
      <xdr:rowOff>16566</xdr:rowOff>
    </xdr:from>
    <xdr:to>
      <xdr:col>7</xdr:col>
      <xdr:colOff>596347</xdr:colOff>
      <xdr:row>11</xdr:row>
      <xdr:rowOff>49213</xdr:rowOff>
    </xdr:to>
    <xdr:grpSp>
      <xdr:nvGrpSpPr>
        <xdr:cNvPr id="33" name="Group 32">
          <a:extLst>
            <a:ext uri="{FF2B5EF4-FFF2-40B4-BE49-F238E27FC236}">
              <a16:creationId xmlns:a16="http://schemas.microsoft.com/office/drawing/2014/main" id="{A746A7BC-72C8-F527-3894-46DF3C514EA2}"/>
            </a:ext>
          </a:extLst>
        </xdr:cNvPr>
        <xdr:cNvGrpSpPr/>
      </xdr:nvGrpSpPr>
      <xdr:grpSpPr>
        <a:xfrm>
          <a:off x="2498981" y="1254816"/>
          <a:ext cx="2383616" cy="740218"/>
          <a:chOff x="0" y="1258957"/>
          <a:chExt cx="2385391" cy="761516"/>
        </a:xfrm>
      </xdr:grpSpPr>
      <xdr:sp macro="" textlink="">
        <xdr:nvSpPr>
          <xdr:cNvPr id="34" name="Rectangle: Rounded Corners 33">
            <a:extLst>
              <a:ext uri="{FF2B5EF4-FFF2-40B4-BE49-F238E27FC236}">
                <a16:creationId xmlns:a16="http://schemas.microsoft.com/office/drawing/2014/main" id="{D7D4D5AD-545C-37CD-7E91-15A96F489CCC}"/>
              </a:ext>
            </a:extLst>
          </xdr:cNvPr>
          <xdr:cNvSpPr/>
        </xdr:nvSpPr>
        <xdr:spPr>
          <a:xfrm flipV="1">
            <a:off x="0" y="1267239"/>
            <a:ext cx="2385391" cy="69574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y</a:t>
            </a:r>
          </a:p>
        </xdr:txBody>
      </xdr:sp>
      <xdr:sp macro="" textlink="">
        <xdr:nvSpPr>
          <xdr:cNvPr id="35" name="Rectangle: Rounded Corners 34">
            <a:extLst>
              <a:ext uri="{FF2B5EF4-FFF2-40B4-BE49-F238E27FC236}">
                <a16:creationId xmlns:a16="http://schemas.microsoft.com/office/drawing/2014/main" id="{7DBD9596-3019-2E2B-91ED-1B20E1EB1ADC}"/>
              </a:ext>
            </a:extLst>
          </xdr:cNvPr>
          <xdr:cNvSpPr/>
        </xdr:nvSpPr>
        <xdr:spPr>
          <a:xfrm rot="5400000" flipV="1">
            <a:off x="8284" y="1258956"/>
            <a:ext cx="704022" cy="704023"/>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6" name="TextBox 35">
            <a:extLst>
              <a:ext uri="{FF2B5EF4-FFF2-40B4-BE49-F238E27FC236}">
                <a16:creationId xmlns:a16="http://schemas.microsoft.com/office/drawing/2014/main" id="{988946AF-A97E-C5D6-4583-1C006B29D31F}"/>
              </a:ext>
            </a:extLst>
          </xdr:cNvPr>
          <xdr:cNvSpPr txBox="1"/>
        </xdr:nvSpPr>
        <xdr:spPr>
          <a:xfrm>
            <a:off x="728870" y="1325217"/>
            <a:ext cx="1507434" cy="6952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a:solidFill>
                  <a:schemeClr val="accent1"/>
                </a:solidFill>
              </a:rPr>
              <a:t>AVERAGE</a:t>
            </a:r>
            <a:r>
              <a:rPr lang="en-IN" sz="1600" baseline="0">
                <a:solidFill>
                  <a:schemeClr val="accent1"/>
                </a:solidFill>
              </a:rPr>
              <a:t> SALES</a:t>
            </a:r>
            <a:endParaRPr lang="en-IN" sz="1600">
              <a:solidFill>
                <a:schemeClr val="accent1"/>
              </a:solidFill>
            </a:endParaRPr>
          </a:p>
        </xdr:txBody>
      </xdr:sp>
    </xdr:grpSp>
    <xdr:clientData/>
  </xdr:twoCellAnchor>
  <xdr:twoCellAnchor>
    <xdr:from>
      <xdr:col>8</xdr:col>
      <xdr:colOff>115957</xdr:colOff>
      <xdr:row>6</xdr:row>
      <xdr:rowOff>165653</xdr:rowOff>
    </xdr:from>
    <xdr:to>
      <xdr:col>12</xdr:col>
      <xdr:colOff>159657</xdr:colOff>
      <xdr:row>11</xdr:row>
      <xdr:rowOff>72572</xdr:rowOff>
    </xdr:to>
    <xdr:grpSp>
      <xdr:nvGrpSpPr>
        <xdr:cNvPr id="38" name="Group 37">
          <a:extLst>
            <a:ext uri="{FF2B5EF4-FFF2-40B4-BE49-F238E27FC236}">
              <a16:creationId xmlns:a16="http://schemas.microsoft.com/office/drawing/2014/main" id="{23AF3D13-18A5-634E-950E-A314FA4F85E0}"/>
            </a:ext>
          </a:extLst>
        </xdr:cNvPr>
        <xdr:cNvGrpSpPr/>
      </xdr:nvGrpSpPr>
      <xdr:grpSpPr>
        <a:xfrm>
          <a:off x="5014528" y="1227010"/>
          <a:ext cx="2492986" cy="791383"/>
          <a:chOff x="0" y="1258957"/>
          <a:chExt cx="2385391" cy="761516"/>
        </a:xfrm>
      </xdr:grpSpPr>
      <xdr:sp macro="" textlink="">
        <xdr:nvSpPr>
          <xdr:cNvPr id="39" name="Rectangle: Rounded Corners 38">
            <a:extLst>
              <a:ext uri="{FF2B5EF4-FFF2-40B4-BE49-F238E27FC236}">
                <a16:creationId xmlns:a16="http://schemas.microsoft.com/office/drawing/2014/main" id="{40FB6D9C-9303-3C19-4359-F062914C9242}"/>
              </a:ext>
            </a:extLst>
          </xdr:cNvPr>
          <xdr:cNvSpPr/>
        </xdr:nvSpPr>
        <xdr:spPr>
          <a:xfrm flipV="1">
            <a:off x="0" y="1267239"/>
            <a:ext cx="2385391" cy="69574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y</a:t>
            </a:r>
          </a:p>
        </xdr:txBody>
      </xdr:sp>
      <xdr:sp macro="" textlink="">
        <xdr:nvSpPr>
          <xdr:cNvPr id="40" name="Rectangle: Rounded Corners 39">
            <a:extLst>
              <a:ext uri="{FF2B5EF4-FFF2-40B4-BE49-F238E27FC236}">
                <a16:creationId xmlns:a16="http://schemas.microsoft.com/office/drawing/2014/main" id="{C9F03CA2-92D2-D4DD-853A-5E7EDF7EC6D2}"/>
              </a:ext>
            </a:extLst>
          </xdr:cNvPr>
          <xdr:cNvSpPr/>
        </xdr:nvSpPr>
        <xdr:spPr>
          <a:xfrm rot="5400000" flipV="1">
            <a:off x="8284" y="1258956"/>
            <a:ext cx="704022" cy="704023"/>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1" name="TextBox 40">
            <a:extLst>
              <a:ext uri="{FF2B5EF4-FFF2-40B4-BE49-F238E27FC236}">
                <a16:creationId xmlns:a16="http://schemas.microsoft.com/office/drawing/2014/main" id="{46CA5DDF-18F3-C423-B188-0A27F4C6EC55}"/>
              </a:ext>
            </a:extLst>
          </xdr:cNvPr>
          <xdr:cNvSpPr txBox="1"/>
        </xdr:nvSpPr>
        <xdr:spPr>
          <a:xfrm>
            <a:off x="861392" y="1325217"/>
            <a:ext cx="1374912" cy="6952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a:solidFill>
                  <a:schemeClr val="accent1"/>
                </a:solidFill>
              </a:rPr>
              <a:t>UNITS SOLD</a:t>
            </a:r>
          </a:p>
        </xdr:txBody>
      </xdr:sp>
      <xdr:sp macro="" textlink="'sales data'!K2">
        <xdr:nvSpPr>
          <xdr:cNvPr id="42" name="TextBox 41">
            <a:extLst>
              <a:ext uri="{FF2B5EF4-FFF2-40B4-BE49-F238E27FC236}">
                <a16:creationId xmlns:a16="http://schemas.microsoft.com/office/drawing/2014/main" id="{941C27F4-FFAD-2D0F-C57F-DE1DD6ADD1E7}"/>
              </a:ext>
            </a:extLst>
          </xdr:cNvPr>
          <xdr:cNvSpPr txBox="1"/>
        </xdr:nvSpPr>
        <xdr:spPr>
          <a:xfrm rot="10800000" flipV="1">
            <a:off x="1051889" y="1557130"/>
            <a:ext cx="894521" cy="3892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a:t>4705</a:t>
            </a:r>
          </a:p>
        </xdr:txBody>
      </xdr:sp>
    </xdr:grpSp>
    <xdr:clientData/>
  </xdr:twoCellAnchor>
  <xdr:twoCellAnchor>
    <xdr:from>
      <xdr:col>12</xdr:col>
      <xdr:colOff>322881</xdr:colOff>
      <xdr:row>6</xdr:row>
      <xdr:rowOff>149086</xdr:rowOff>
    </xdr:from>
    <xdr:to>
      <xdr:col>16</xdr:col>
      <xdr:colOff>581186</xdr:colOff>
      <xdr:row>11</xdr:row>
      <xdr:rowOff>72572</xdr:rowOff>
    </xdr:to>
    <xdr:grpSp>
      <xdr:nvGrpSpPr>
        <xdr:cNvPr id="43" name="Group 42">
          <a:extLst>
            <a:ext uri="{FF2B5EF4-FFF2-40B4-BE49-F238E27FC236}">
              <a16:creationId xmlns:a16="http://schemas.microsoft.com/office/drawing/2014/main" id="{98C64376-A8B2-04DF-13AB-9369AEEBBC3F}"/>
            </a:ext>
          </a:extLst>
        </xdr:cNvPr>
        <xdr:cNvGrpSpPr/>
      </xdr:nvGrpSpPr>
      <xdr:grpSpPr>
        <a:xfrm>
          <a:off x="7670738" y="1210443"/>
          <a:ext cx="2707591" cy="807950"/>
          <a:chOff x="0" y="1258957"/>
          <a:chExt cx="2501347" cy="761516"/>
        </a:xfrm>
      </xdr:grpSpPr>
      <xdr:sp macro="" textlink="">
        <xdr:nvSpPr>
          <xdr:cNvPr id="44" name="Rectangle: Rounded Corners 43">
            <a:extLst>
              <a:ext uri="{FF2B5EF4-FFF2-40B4-BE49-F238E27FC236}">
                <a16:creationId xmlns:a16="http://schemas.microsoft.com/office/drawing/2014/main" id="{130D25BF-D58B-0CD2-9968-EE82C7B646AB}"/>
              </a:ext>
            </a:extLst>
          </xdr:cNvPr>
          <xdr:cNvSpPr/>
        </xdr:nvSpPr>
        <xdr:spPr>
          <a:xfrm flipV="1">
            <a:off x="0" y="1267239"/>
            <a:ext cx="2385391" cy="69574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y</a:t>
            </a:r>
          </a:p>
        </xdr:txBody>
      </xdr:sp>
      <xdr:sp macro="" textlink="">
        <xdr:nvSpPr>
          <xdr:cNvPr id="45" name="Rectangle: Rounded Corners 44">
            <a:extLst>
              <a:ext uri="{FF2B5EF4-FFF2-40B4-BE49-F238E27FC236}">
                <a16:creationId xmlns:a16="http://schemas.microsoft.com/office/drawing/2014/main" id="{74BEEF33-5935-CC4A-EACB-A0502B513FF0}"/>
              </a:ext>
            </a:extLst>
          </xdr:cNvPr>
          <xdr:cNvSpPr/>
        </xdr:nvSpPr>
        <xdr:spPr>
          <a:xfrm rot="5400000" flipV="1">
            <a:off x="8284" y="1258956"/>
            <a:ext cx="704022" cy="704023"/>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TextBox 45">
            <a:extLst>
              <a:ext uri="{FF2B5EF4-FFF2-40B4-BE49-F238E27FC236}">
                <a16:creationId xmlns:a16="http://schemas.microsoft.com/office/drawing/2014/main" id="{C49AA4D5-863C-5FCB-F55D-EFE05594D3E3}"/>
              </a:ext>
            </a:extLst>
          </xdr:cNvPr>
          <xdr:cNvSpPr txBox="1"/>
        </xdr:nvSpPr>
        <xdr:spPr>
          <a:xfrm>
            <a:off x="861392" y="1325217"/>
            <a:ext cx="1374912" cy="6952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a:solidFill>
                  <a:schemeClr val="accent1"/>
                </a:solidFill>
              </a:rPr>
              <a:t>PROFIT</a:t>
            </a:r>
          </a:p>
        </xdr:txBody>
      </xdr:sp>
      <xdr:sp macro="" textlink="'sales data'!K2">
        <xdr:nvSpPr>
          <xdr:cNvPr id="47" name="TextBox 46">
            <a:extLst>
              <a:ext uri="{FF2B5EF4-FFF2-40B4-BE49-F238E27FC236}">
                <a16:creationId xmlns:a16="http://schemas.microsoft.com/office/drawing/2014/main" id="{D54767D6-F701-D045-CA6E-F18F95F48B9B}"/>
              </a:ext>
            </a:extLst>
          </xdr:cNvPr>
          <xdr:cNvSpPr txBox="1"/>
        </xdr:nvSpPr>
        <xdr:spPr>
          <a:xfrm rot="10800000" flipV="1">
            <a:off x="770283" y="1557130"/>
            <a:ext cx="1731064" cy="3892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a:t>RS.38,34,400</a:t>
            </a:r>
          </a:p>
          <a:p>
            <a:endParaRPr lang="en-IN" sz="1800"/>
          </a:p>
        </xdr:txBody>
      </xdr:sp>
    </xdr:grpSp>
    <xdr:clientData/>
  </xdr:twoCellAnchor>
  <xdr:oneCellAnchor>
    <xdr:from>
      <xdr:col>5</xdr:col>
      <xdr:colOff>182218</xdr:colOff>
      <xdr:row>19</xdr:row>
      <xdr:rowOff>41413</xdr:rowOff>
    </xdr:from>
    <xdr:ext cx="184731" cy="264560"/>
    <xdr:sp macro="" textlink="">
      <xdr:nvSpPr>
        <xdr:cNvPr id="48" name="TextBox 47">
          <a:extLst>
            <a:ext uri="{FF2B5EF4-FFF2-40B4-BE49-F238E27FC236}">
              <a16:creationId xmlns:a16="http://schemas.microsoft.com/office/drawing/2014/main" id="{D7C4BC2C-D459-D74C-6AF0-2EB9CA3500B4}"/>
            </a:ext>
          </a:extLst>
        </xdr:cNvPr>
        <xdr:cNvSpPr txBox="1"/>
      </xdr:nvSpPr>
      <xdr:spPr>
        <a:xfrm>
          <a:off x="3246783" y="35035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5</xdr:col>
      <xdr:colOff>231912</xdr:colOff>
      <xdr:row>9</xdr:row>
      <xdr:rowOff>24848</xdr:rowOff>
    </xdr:from>
    <xdr:ext cx="1507435" cy="298174"/>
    <xdr:sp macro="" textlink="'sales data'!K8">
      <xdr:nvSpPr>
        <xdr:cNvPr id="49" name="TextBox 48">
          <a:extLst>
            <a:ext uri="{FF2B5EF4-FFF2-40B4-BE49-F238E27FC236}">
              <a16:creationId xmlns:a16="http://schemas.microsoft.com/office/drawing/2014/main" id="{DA7D3728-184C-4362-B2AC-869443FDE71C}"/>
            </a:ext>
          </a:extLst>
        </xdr:cNvPr>
        <xdr:cNvSpPr txBox="1"/>
      </xdr:nvSpPr>
      <xdr:spPr>
        <a:xfrm>
          <a:off x="3279912" y="1701248"/>
          <a:ext cx="1507435" cy="298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35E2C5D8-BBFA-4FF7-8509-6594C022CCB0}" type="TxLink">
            <a:rPr lang="en-US" sz="1800" b="0" i="0" u="none" strike="noStrike">
              <a:solidFill>
                <a:srgbClr val="000000"/>
              </a:solidFill>
              <a:latin typeface="Calibri"/>
              <a:ea typeface="Calibri"/>
              <a:cs typeface="Calibri"/>
            </a:rPr>
            <a:pPr/>
            <a:t>319200</a:t>
          </a:fld>
          <a:endParaRPr lang="en-IN" sz="1800"/>
        </a:p>
      </xdr:txBody>
    </xdr:sp>
    <xdr:clientData/>
  </xdr:oneCellAnchor>
  <xdr:twoCellAnchor editAs="oneCell">
    <xdr:from>
      <xdr:col>8</xdr:col>
      <xdr:colOff>306456</xdr:colOff>
      <xdr:row>7</xdr:row>
      <xdr:rowOff>157368</xdr:rowOff>
    </xdr:from>
    <xdr:to>
      <xdr:col>9</xdr:col>
      <xdr:colOff>53543</xdr:colOff>
      <xdr:row>9</xdr:row>
      <xdr:rowOff>152933</xdr:rowOff>
    </xdr:to>
    <xdr:pic>
      <xdr:nvPicPr>
        <xdr:cNvPr id="53" name="Graphic 52" descr="Money with solid fill">
          <a:extLst>
            <a:ext uri="{FF2B5EF4-FFF2-40B4-BE49-F238E27FC236}">
              <a16:creationId xmlns:a16="http://schemas.microsoft.com/office/drawing/2014/main" id="{6E05E2F4-8106-ABAC-4957-7AACF52E27C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09760" y="1432890"/>
          <a:ext cx="360000" cy="360000"/>
        </a:xfrm>
        <a:prstGeom prst="rect">
          <a:avLst/>
        </a:prstGeom>
      </xdr:spPr>
    </xdr:pic>
    <xdr:clientData/>
  </xdr:twoCellAnchor>
  <xdr:twoCellAnchor editAs="oneCell">
    <xdr:from>
      <xdr:col>0</xdr:col>
      <xdr:colOff>241108</xdr:colOff>
      <xdr:row>7</xdr:row>
      <xdr:rowOff>149999</xdr:rowOff>
    </xdr:from>
    <xdr:to>
      <xdr:col>0</xdr:col>
      <xdr:colOff>601108</xdr:colOff>
      <xdr:row>9</xdr:row>
      <xdr:rowOff>145564</xdr:rowOff>
    </xdr:to>
    <xdr:pic>
      <xdr:nvPicPr>
        <xdr:cNvPr id="55" name="Graphic 54" descr="Dollar with solid fill">
          <a:extLst>
            <a:ext uri="{FF2B5EF4-FFF2-40B4-BE49-F238E27FC236}">
              <a16:creationId xmlns:a16="http://schemas.microsoft.com/office/drawing/2014/main" id="{6D393E88-3518-6100-7A68-62F50D06FA6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1108" y="1425521"/>
          <a:ext cx="360000" cy="360000"/>
        </a:xfrm>
        <a:prstGeom prst="rect">
          <a:avLst/>
        </a:prstGeom>
      </xdr:spPr>
    </xdr:pic>
    <xdr:clientData/>
  </xdr:twoCellAnchor>
  <xdr:twoCellAnchor editAs="oneCell">
    <xdr:from>
      <xdr:col>4</xdr:col>
      <xdr:colOff>258588</xdr:colOff>
      <xdr:row>8</xdr:row>
      <xdr:rowOff>1825</xdr:rowOff>
    </xdr:from>
    <xdr:to>
      <xdr:col>5</xdr:col>
      <xdr:colOff>5675</xdr:colOff>
      <xdr:row>9</xdr:row>
      <xdr:rowOff>179607</xdr:rowOff>
    </xdr:to>
    <xdr:pic>
      <xdr:nvPicPr>
        <xdr:cNvPr id="57" name="Graphic 56" descr="Coins with solid fill">
          <a:extLst>
            <a:ext uri="{FF2B5EF4-FFF2-40B4-BE49-F238E27FC236}">
              <a16:creationId xmlns:a16="http://schemas.microsoft.com/office/drawing/2014/main" id="{8ADE1ED5-C712-3B06-46CD-B77C58CF426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710240" y="1459564"/>
          <a:ext cx="360000" cy="360000"/>
        </a:xfrm>
        <a:prstGeom prst="rect">
          <a:avLst/>
        </a:prstGeom>
      </xdr:spPr>
    </xdr:pic>
    <xdr:clientData/>
  </xdr:twoCellAnchor>
  <xdr:twoCellAnchor editAs="oneCell">
    <xdr:from>
      <xdr:col>12</xdr:col>
      <xdr:colOff>281607</xdr:colOff>
      <xdr:row>7</xdr:row>
      <xdr:rowOff>107674</xdr:rowOff>
    </xdr:from>
    <xdr:to>
      <xdr:col>13</xdr:col>
      <xdr:colOff>190499</xdr:colOff>
      <xdr:row>10</xdr:row>
      <xdr:rowOff>82826</xdr:rowOff>
    </xdr:to>
    <xdr:pic>
      <xdr:nvPicPr>
        <xdr:cNvPr id="59" name="Graphic 58" descr="Upward trend with solid fill">
          <a:extLst>
            <a:ext uri="{FF2B5EF4-FFF2-40B4-BE49-F238E27FC236}">
              <a16:creationId xmlns:a16="http://schemas.microsoft.com/office/drawing/2014/main" id="{9A34A93C-4799-8108-8FA2-77A2F8BBF4E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636564" y="1383196"/>
          <a:ext cx="521805" cy="521804"/>
        </a:xfrm>
        <a:prstGeom prst="rect">
          <a:avLst/>
        </a:prstGeom>
      </xdr:spPr>
    </xdr:pic>
    <xdr:clientData/>
  </xdr:twoCellAnchor>
  <xdr:twoCellAnchor>
    <xdr:from>
      <xdr:col>5</xdr:col>
      <xdr:colOff>575733</xdr:colOff>
      <xdr:row>0</xdr:row>
      <xdr:rowOff>16565</xdr:rowOff>
    </xdr:from>
    <xdr:to>
      <xdr:col>18</xdr:col>
      <xdr:colOff>281607</xdr:colOff>
      <xdr:row>3</xdr:row>
      <xdr:rowOff>140804</xdr:rowOff>
    </xdr:to>
    <xdr:sp macro="" textlink="">
      <xdr:nvSpPr>
        <xdr:cNvPr id="60" name="TextBox 59">
          <a:extLst>
            <a:ext uri="{FF2B5EF4-FFF2-40B4-BE49-F238E27FC236}">
              <a16:creationId xmlns:a16="http://schemas.microsoft.com/office/drawing/2014/main" id="{48F9D326-2B8F-86AA-E831-9209B6DFEBF6}"/>
            </a:ext>
          </a:extLst>
        </xdr:cNvPr>
        <xdr:cNvSpPr txBox="1"/>
      </xdr:nvSpPr>
      <xdr:spPr>
        <a:xfrm>
          <a:off x="3623733" y="16565"/>
          <a:ext cx="7630674" cy="6830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a:solidFill>
                <a:schemeClr val="accent1"/>
              </a:solidFill>
            </a:rPr>
            <a:t>SALES DASHBOARD - 2026</a:t>
          </a:r>
        </a:p>
      </xdr:txBody>
    </xdr:sp>
    <xdr:clientData/>
  </xdr:twoCellAnchor>
  <xdr:twoCellAnchor editAs="oneCell">
    <xdr:from>
      <xdr:col>17</xdr:col>
      <xdr:colOff>25830</xdr:colOff>
      <xdr:row>7</xdr:row>
      <xdr:rowOff>13139</xdr:rowOff>
    </xdr:from>
    <xdr:to>
      <xdr:col>21</xdr:col>
      <xdr:colOff>361627</xdr:colOff>
      <xdr:row>11</xdr:row>
      <xdr:rowOff>0</xdr:rowOff>
    </xdr:to>
    <mc:AlternateContent xmlns:mc="http://schemas.openxmlformats.org/markup-compatibility/2006" xmlns:a14="http://schemas.microsoft.com/office/drawing/2010/main">
      <mc:Choice Requires="a14">
        <xdr:graphicFrame macro="">
          <xdr:nvGraphicFramePr>
            <xdr:cNvPr id="63" name="Region 1">
              <a:extLst>
                <a:ext uri="{FF2B5EF4-FFF2-40B4-BE49-F238E27FC236}">
                  <a16:creationId xmlns:a16="http://schemas.microsoft.com/office/drawing/2014/main" id="{E2F3B0AD-F202-409B-BC4C-5DFDD164AE9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452220" y="1314115"/>
              <a:ext cx="2789066" cy="730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xdr:rowOff>
    </xdr:from>
    <xdr:to>
      <xdr:col>3</xdr:col>
      <xdr:colOff>0</xdr:colOff>
      <xdr:row>24</xdr:row>
      <xdr:rowOff>21772</xdr:rowOff>
    </xdr:to>
    <mc:AlternateContent xmlns:mc="http://schemas.openxmlformats.org/markup-compatibility/2006" xmlns:a14="http://schemas.microsoft.com/office/drawing/2010/main">
      <mc:Choice Requires="a14">
        <xdr:graphicFrame macro="">
          <xdr:nvGraphicFramePr>
            <xdr:cNvPr id="66" name="Product 1">
              <a:extLst>
                <a:ext uri="{FF2B5EF4-FFF2-40B4-BE49-F238E27FC236}">
                  <a16:creationId xmlns:a16="http://schemas.microsoft.com/office/drawing/2014/main" id="{00213A79-4748-44AB-B3CC-DEEC15DBF089}"/>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0" y="2230245"/>
              <a:ext cx="1839951" cy="22891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0</xdr:rowOff>
    </xdr:from>
    <xdr:to>
      <xdr:col>3</xdr:col>
      <xdr:colOff>0</xdr:colOff>
      <xdr:row>39</xdr:row>
      <xdr:rowOff>108404</xdr:rowOff>
    </xdr:to>
    <mc:AlternateContent xmlns:mc="http://schemas.openxmlformats.org/markup-compatibility/2006" xmlns:a14="http://schemas.microsoft.com/office/drawing/2010/main">
      <mc:Choice Requires="a14">
        <xdr:graphicFrame macro="">
          <xdr:nvGraphicFramePr>
            <xdr:cNvPr id="67" name="Sales person 1">
              <a:extLst>
                <a:ext uri="{FF2B5EF4-FFF2-40B4-BE49-F238E27FC236}">
                  <a16:creationId xmlns:a16="http://schemas.microsoft.com/office/drawing/2014/main" id="{87198F3F-8DF8-4FD1-8744-F1BC299EE4E9}"/>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0" y="4869366"/>
              <a:ext cx="1839951" cy="2524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159657</xdr:rowOff>
    </xdr:from>
    <xdr:to>
      <xdr:col>2</xdr:col>
      <xdr:colOff>595086</xdr:colOff>
      <xdr:row>23</xdr:row>
      <xdr:rowOff>43544</xdr:rowOff>
    </xdr:to>
    <mc:AlternateContent xmlns:mc="http://schemas.openxmlformats.org/markup-compatibility/2006" xmlns:a14="http://schemas.microsoft.com/office/drawing/2010/main">
      <mc:Choice Requires="a14">
        <xdr:graphicFrame macro="">
          <xdr:nvGraphicFramePr>
            <xdr:cNvPr id="68" name="Product 2">
              <a:extLst>
                <a:ext uri="{FF2B5EF4-FFF2-40B4-BE49-F238E27FC236}">
                  <a16:creationId xmlns:a16="http://schemas.microsoft.com/office/drawing/2014/main" id="{DC3F4F0C-FBBF-BF61-F297-A825522B1104}"/>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0" y="2204047"/>
              <a:ext cx="1821720" cy="21513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123371</xdr:rowOff>
    </xdr:from>
    <xdr:to>
      <xdr:col>3</xdr:col>
      <xdr:colOff>0</xdr:colOff>
      <xdr:row>42</xdr:row>
      <xdr:rowOff>142067</xdr:rowOff>
    </xdr:to>
    <mc:AlternateContent xmlns:mc="http://schemas.openxmlformats.org/markup-compatibility/2006" xmlns:a14="http://schemas.microsoft.com/office/drawing/2010/main">
      <mc:Choice Requires="a14">
        <xdr:graphicFrame macro="">
          <xdr:nvGraphicFramePr>
            <xdr:cNvPr id="69" name="Sales person 2">
              <a:extLst>
                <a:ext uri="{FF2B5EF4-FFF2-40B4-BE49-F238E27FC236}">
                  <a16:creationId xmlns:a16="http://schemas.microsoft.com/office/drawing/2014/main" id="{B3A3694E-0D84-C6F7-B881-7FD5D903401F}"/>
                </a:ext>
              </a:extLst>
            </xdr:cNvPr>
            <xdr:cNvGraphicFramePr/>
          </xdr:nvGraphicFramePr>
          <xdr:xfrm>
            <a:off x="0" y="0"/>
            <a:ext cx="0" cy="0"/>
          </xdr:xfrm>
          <a:graphic>
            <a:graphicData uri="http://schemas.microsoft.com/office/drawing/2010/slicer">
              <sle:slicer xmlns:sle="http://schemas.microsoft.com/office/drawing/2010/slicer" name="Sales person 2"/>
            </a:graphicData>
          </a:graphic>
        </xdr:graphicFrame>
      </mc:Choice>
      <mc:Fallback xmlns="">
        <xdr:sp macro="" textlink="">
          <xdr:nvSpPr>
            <xdr:cNvPr id="0" name=""/>
            <xdr:cNvSpPr>
              <a:spLocks noTextEdit="1"/>
            </xdr:cNvSpPr>
          </xdr:nvSpPr>
          <xdr:spPr>
            <a:xfrm>
              <a:off x="0" y="4621030"/>
              <a:ext cx="1839951" cy="33640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37172</xdr:colOff>
      <xdr:row>12</xdr:row>
      <xdr:rowOff>14513</xdr:rowOff>
    </xdr:from>
    <xdr:to>
      <xdr:col>13</xdr:col>
      <xdr:colOff>101601</xdr:colOff>
      <xdr:row>27</xdr:row>
      <xdr:rowOff>129153</xdr:rowOff>
    </xdr:to>
    <xdr:sp macro="" textlink="">
      <xdr:nvSpPr>
        <xdr:cNvPr id="76" name="Rectangle: Rounded Corners 75">
          <a:extLst>
            <a:ext uri="{FF2B5EF4-FFF2-40B4-BE49-F238E27FC236}">
              <a16:creationId xmlns:a16="http://schemas.microsoft.com/office/drawing/2014/main" id="{FB0E50E1-7B48-55CF-3A7A-22E293DDE07E}"/>
            </a:ext>
          </a:extLst>
        </xdr:cNvPr>
        <xdr:cNvSpPr/>
      </xdr:nvSpPr>
      <xdr:spPr>
        <a:xfrm flipV="1">
          <a:off x="1858223" y="2184276"/>
          <a:ext cx="6134598" cy="2878504"/>
        </a:xfrm>
        <a:prstGeom prst="roundRect">
          <a:avLst/>
        </a:prstGeom>
        <a:solidFill>
          <a:sysClr val="window" lastClr="FFFFFF"/>
        </a:solidFill>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oneCellAnchor>
    <xdr:from>
      <xdr:col>4</xdr:col>
      <xdr:colOff>14514</xdr:colOff>
      <xdr:row>12</xdr:row>
      <xdr:rowOff>38746</xdr:rowOff>
    </xdr:from>
    <xdr:ext cx="3098799" cy="473282"/>
    <xdr:sp macro="" textlink="">
      <xdr:nvSpPr>
        <xdr:cNvPr id="77" name="TextBox 76">
          <a:extLst>
            <a:ext uri="{FF2B5EF4-FFF2-40B4-BE49-F238E27FC236}">
              <a16:creationId xmlns:a16="http://schemas.microsoft.com/office/drawing/2014/main" id="{16B99F47-AED2-1884-72B7-5910F29A4519}"/>
            </a:ext>
          </a:extLst>
        </xdr:cNvPr>
        <xdr:cNvSpPr txBox="1"/>
      </xdr:nvSpPr>
      <xdr:spPr>
        <a:xfrm>
          <a:off x="2442582" y="2208509"/>
          <a:ext cx="3098799" cy="4732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solidFill>
                <a:schemeClr val="accent1"/>
              </a:solidFill>
            </a:rPr>
            <a:t>UNIT</a:t>
          </a:r>
          <a:r>
            <a:rPr lang="en-IN" sz="1800" b="1" baseline="0">
              <a:solidFill>
                <a:schemeClr val="accent1"/>
              </a:solidFill>
            </a:rPr>
            <a:t>  </a:t>
          </a:r>
          <a:r>
            <a:rPr lang="en-IN" sz="1800" b="1">
              <a:solidFill>
                <a:schemeClr val="accent1"/>
              </a:solidFill>
            </a:rPr>
            <a:t>SOLD </a:t>
          </a:r>
          <a:r>
            <a:rPr lang="en-IN" sz="1800" b="1" baseline="0">
              <a:solidFill>
                <a:schemeClr val="accent1"/>
              </a:solidFill>
            </a:rPr>
            <a:t> BY  PRODUCT</a:t>
          </a:r>
          <a:endParaRPr lang="en-IN" sz="1800" b="1">
            <a:solidFill>
              <a:schemeClr val="accent1"/>
            </a:solidFill>
          </a:endParaRPr>
        </a:p>
      </xdr:txBody>
    </xdr:sp>
    <xdr:clientData/>
  </xdr:oneCellAnchor>
  <xdr:twoCellAnchor>
    <xdr:from>
      <xdr:col>3</xdr:col>
      <xdr:colOff>501806</xdr:colOff>
      <xdr:row>14</xdr:row>
      <xdr:rowOff>21770</xdr:rowOff>
    </xdr:from>
    <xdr:to>
      <xdr:col>12</xdr:col>
      <xdr:colOff>284136</xdr:colOff>
      <xdr:row>26</xdr:row>
      <xdr:rowOff>130097</xdr:rowOff>
    </xdr:to>
    <xdr:graphicFrame macro="">
      <xdr:nvGraphicFramePr>
        <xdr:cNvPr id="80" name="Chart 79">
          <a:extLst>
            <a:ext uri="{FF2B5EF4-FFF2-40B4-BE49-F238E27FC236}">
              <a16:creationId xmlns:a16="http://schemas.microsoft.com/office/drawing/2014/main" id="{7067E3BC-8169-4492-8B32-47F928ED37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154984</xdr:colOff>
      <xdr:row>12</xdr:row>
      <xdr:rowOff>25828</xdr:rowOff>
    </xdr:from>
    <xdr:to>
      <xdr:col>22</xdr:col>
      <xdr:colOff>0</xdr:colOff>
      <xdr:row>27</xdr:row>
      <xdr:rowOff>130968</xdr:rowOff>
    </xdr:to>
    <xdr:sp macro="" textlink="">
      <xdr:nvSpPr>
        <xdr:cNvPr id="81" name="Rectangle: Rounded Corners 80">
          <a:extLst>
            <a:ext uri="{FF2B5EF4-FFF2-40B4-BE49-F238E27FC236}">
              <a16:creationId xmlns:a16="http://schemas.microsoft.com/office/drawing/2014/main" id="{9A6E1696-C274-0E31-1C8C-65C6AB3CFFAE}"/>
            </a:ext>
          </a:extLst>
        </xdr:cNvPr>
        <xdr:cNvSpPr/>
      </xdr:nvSpPr>
      <xdr:spPr>
        <a:xfrm flipV="1">
          <a:off x="8048828" y="2168953"/>
          <a:ext cx="5309985" cy="2831671"/>
        </a:xfrm>
        <a:prstGeom prst="roundRect">
          <a:avLst/>
        </a:prstGeom>
        <a:solidFill>
          <a:sysClr val="window" lastClr="FFFFFF"/>
        </a:solidFill>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3</xdr:col>
      <xdr:colOff>37171</xdr:colOff>
      <xdr:row>28</xdr:row>
      <xdr:rowOff>12910</xdr:rowOff>
    </xdr:from>
    <xdr:to>
      <xdr:col>13</xdr:col>
      <xdr:colOff>154983</xdr:colOff>
      <xdr:row>43</xdr:row>
      <xdr:rowOff>167896</xdr:rowOff>
    </xdr:to>
    <xdr:sp macro="" textlink="">
      <xdr:nvSpPr>
        <xdr:cNvPr id="82" name="Rectangle: Rounded Corners 81">
          <a:extLst>
            <a:ext uri="{FF2B5EF4-FFF2-40B4-BE49-F238E27FC236}">
              <a16:creationId xmlns:a16="http://schemas.microsoft.com/office/drawing/2014/main" id="{E82890B1-29CE-EF4D-82B5-4B6D2DFAFD2A}"/>
            </a:ext>
          </a:extLst>
        </xdr:cNvPr>
        <xdr:cNvSpPr/>
      </xdr:nvSpPr>
      <xdr:spPr>
        <a:xfrm flipV="1">
          <a:off x="1877122" y="5253983"/>
          <a:ext cx="6250983" cy="2942791"/>
        </a:xfrm>
        <a:prstGeom prst="roundRect">
          <a:avLst/>
        </a:prstGeom>
        <a:solidFill>
          <a:schemeClr val="bg1"/>
        </a:solidFill>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13</xdr:col>
      <xdr:colOff>149678</xdr:colOff>
      <xdr:row>27</xdr:row>
      <xdr:rowOff>163285</xdr:rowOff>
    </xdr:from>
    <xdr:to>
      <xdr:col>22</xdr:col>
      <xdr:colOff>59531</xdr:colOff>
      <xdr:row>44</xdr:row>
      <xdr:rowOff>893</xdr:rowOff>
    </xdr:to>
    <xdr:sp macro="" textlink="">
      <xdr:nvSpPr>
        <xdr:cNvPr id="83" name="Rectangle: Rounded Corners 82">
          <a:extLst>
            <a:ext uri="{FF2B5EF4-FFF2-40B4-BE49-F238E27FC236}">
              <a16:creationId xmlns:a16="http://schemas.microsoft.com/office/drawing/2014/main" id="{148D22ED-39D2-D376-77B2-C3BE7A2F6271}"/>
            </a:ext>
          </a:extLst>
        </xdr:cNvPr>
        <xdr:cNvSpPr/>
      </xdr:nvSpPr>
      <xdr:spPr>
        <a:xfrm flipV="1">
          <a:off x="8109857" y="4993821"/>
          <a:ext cx="5420745" cy="2844786"/>
        </a:xfrm>
        <a:prstGeom prst="roundRect">
          <a:avLst>
            <a:gd name="adj" fmla="val 16667"/>
          </a:avLst>
        </a:prstGeom>
        <a:solidFill>
          <a:sysClr val="window" lastClr="FFFFFF"/>
        </a:solidFill>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oneCellAnchor>
    <xdr:from>
      <xdr:col>3</xdr:col>
      <xdr:colOff>581186</xdr:colOff>
      <xdr:row>28</xdr:row>
      <xdr:rowOff>38745</xdr:rowOff>
    </xdr:from>
    <xdr:ext cx="3008811" cy="859397"/>
    <xdr:sp macro="" textlink="">
      <xdr:nvSpPr>
        <xdr:cNvPr id="84" name="TextBox 83">
          <a:extLst>
            <a:ext uri="{FF2B5EF4-FFF2-40B4-BE49-F238E27FC236}">
              <a16:creationId xmlns:a16="http://schemas.microsoft.com/office/drawing/2014/main" id="{5C585C07-DBB1-481A-0F37-34B397F18361}"/>
            </a:ext>
          </a:extLst>
        </xdr:cNvPr>
        <xdr:cNvSpPr txBox="1"/>
      </xdr:nvSpPr>
      <xdr:spPr>
        <a:xfrm>
          <a:off x="2402237" y="5153186"/>
          <a:ext cx="3008811" cy="8593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b="1">
              <a:solidFill>
                <a:schemeClr val="accent1"/>
              </a:solidFill>
            </a:rPr>
            <a:t>TOTAL</a:t>
          </a:r>
          <a:r>
            <a:rPr lang="en-IN" sz="1600" b="1" baseline="0">
              <a:solidFill>
                <a:schemeClr val="accent1"/>
              </a:solidFill>
            </a:rPr>
            <a:t> SALES BY </a:t>
          </a:r>
          <a:r>
            <a:rPr lang="en-IN" sz="1800" b="1" baseline="0">
              <a:solidFill>
                <a:schemeClr val="accent1"/>
              </a:solidFill>
            </a:rPr>
            <a:t>PRODUCT</a:t>
          </a:r>
          <a:endParaRPr lang="en-IN" sz="1800" b="1">
            <a:solidFill>
              <a:schemeClr val="accent1"/>
            </a:solidFill>
          </a:endParaRPr>
        </a:p>
      </xdr:txBody>
    </xdr:sp>
    <xdr:clientData/>
  </xdr:oneCellAnchor>
  <xdr:twoCellAnchor>
    <xdr:from>
      <xdr:col>3</xdr:col>
      <xdr:colOff>245390</xdr:colOff>
      <xdr:row>30</xdr:row>
      <xdr:rowOff>51661</xdr:rowOff>
    </xdr:from>
    <xdr:to>
      <xdr:col>13</xdr:col>
      <xdr:colOff>64577</xdr:colOff>
      <xdr:row>42</xdr:row>
      <xdr:rowOff>38745</xdr:rowOff>
    </xdr:to>
    <xdr:graphicFrame macro="">
      <xdr:nvGraphicFramePr>
        <xdr:cNvPr id="85" name="Chart 84">
          <a:extLst>
            <a:ext uri="{FF2B5EF4-FFF2-40B4-BE49-F238E27FC236}">
              <a16:creationId xmlns:a16="http://schemas.microsoft.com/office/drawing/2014/main" id="{80D1060D-2696-4D91-AEF8-DA0327904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14</xdr:col>
      <xdr:colOff>271221</xdr:colOff>
      <xdr:row>13</xdr:row>
      <xdr:rowOff>0</xdr:rowOff>
    </xdr:from>
    <xdr:ext cx="2540311" cy="374141"/>
    <xdr:sp macro="" textlink="">
      <xdr:nvSpPr>
        <xdr:cNvPr id="86" name="TextBox 85">
          <a:extLst>
            <a:ext uri="{FF2B5EF4-FFF2-40B4-BE49-F238E27FC236}">
              <a16:creationId xmlns:a16="http://schemas.microsoft.com/office/drawing/2014/main" id="{4BA0F64A-5224-429A-F92E-4BA0893AF1ED}"/>
            </a:ext>
          </a:extLst>
        </xdr:cNvPr>
        <xdr:cNvSpPr txBox="1"/>
      </xdr:nvSpPr>
      <xdr:spPr>
        <a:xfrm>
          <a:off x="8769458" y="2350576"/>
          <a:ext cx="254031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solidFill>
                <a:schemeClr val="accent1"/>
              </a:solidFill>
            </a:rPr>
            <a:t>TOTAL SALES BY REGION</a:t>
          </a:r>
        </a:p>
      </xdr:txBody>
    </xdr:sp>
    <xdr:clientData/>
  </xdr:oneCellAnchor>
  <xdr:twoCellAnchor>
    <xdr:from>
      <xdr:col>13</xdr:col>
      <xdr:colOff>348712</xdr:colOff>
      <xdr:row>12</xdr:row>
      <xdr:rowOff>51661</xdr:rowOff>
    </xdr:from>
    <xdr:to>
      <xdr:col>24</xdr:col>
      <xdr:colOff>297051</xdr:colOff>
      <xdr:row>27</xdr:row>
      <xdr:rowOff>90407</xdr:rowOff>
    </xdr:to>
    <xdr:graphicFrame macro="">
      <xdr:nvGraphicFramePr>
        <xdr:cNvPr id="88" name="Chart 87">
          <a:extLst>
            <a:ext uri="{FF2B5EF4-FFF2-40B4-BE49-F238E27FC236}">
              <a16:creationId xmlns:a16="http://schemas.microsoft.com/office/drawing/2014/main" id="{24ED9B9F-D264-4642-876F-68EC536F0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416719</xdr:colOff>
      <xdr:row>30</xdr:row>
      <xdr:rowOff>64576</xdr:rowOff>
    </xdr:from>
    <xdr:to>
      <xdr:col>21</xdr:col>
      <xdr:colOff>559594</xdr:colOff>
      <xdr:row>42</xdr:row>
      <xdr:rowOff>103322</xdr:rowOff>
    </xdr:to>
    <xdr:graphicFrame macro="">
      <xdr:nvGraphicFramePr>
        <xdr:cNvPr id="89" name="Chart 88">
          <a:extLst>
            <a:ext uri="{FF2B5EF4-FFF2-40B4-BE49-F238E27FC236}">
              <a16:creationId xmlns:a16="http://schemas.microsoft.com/office/drawing/2014/main" id="{0940B907-4732-4537-848E-528D71334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14</xdr:col>
      <xdr:colOff>258306</xdr:colOff>
      <xdr:row>28</xdr:row>
      <xdr:rowOff>77491</xdr:rowOff>
    </xdr:from>
    <xdr:ext cx="3829904" cy="361627"/>
    <xdr:sp macro="" textlink="">
      <xdr:nvSpPr>
        <xdr:cNvPr id="90" name="TextBox 89">
          <a:extLst>
            <a:ext uri="{FF2B5EF4-FFF2-40B4-BE49-F238E27FC236}">
              <a16:creationId xmlns:a16="http://schemas.microsoft.com/office/drawing/2014/main" id="{738E5A83-C6B4-F471-115B-D68C4A03FEE9}"/>
            </a:ext>
          </a:extLst>
        </xdr:cNvPr>
        <xdr:cNvSpPr txBox="1"/>
      </xdr:nvSpPr>
      <xdr:spPr>
        <a:xfrm>
          <a:off x="8756543" y="5191932"/>
          <a:ext cx="3829904" cy="3616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solidFill>
                <a:schemeClr val="accent1"/>
              </a:solidFill>
            </a:rPr>
            <a:t>TOTAL SALES BY SALES PERSON</a:t>
          </a:r>
        </a:p>
      </xdr:txBody>
    </xdr:sp>
    <xdr:clientData/>
  </xdr:oneCellAnchor>
  <xdr:twoCellAnchor editAs="oneCell">
    <xdr:from>
      <xdr:col>4</xdr:col>
      <xdr:colOff>163286</xdr:colOff>
      <xdr:row>0</xdr:row>
      <xdr:rowOff>0</xdr:rowOff>
    </xdr:from>
    <xdr:to>
      <xdr:col>5</xdr:col>
      <xdr:colOff>465365</xdr:colOff>
      <xdr:row>4</xdr:row>
      <xdr:rowOff>27215</xdr:rowOff>
    </xdr:to>
    <xdr:pic>
      <xdr:nvPicPr>
        <xdr:cNvPr id="7" name="Graphic 6" descr="Employee badge with solid fill">
          <a:extLst>
            <a:ext uri="{FF2B5EF4-FFF2-40B4-BE49-F238E27FC236}">
              <a16:creationId xmlns:a16="http://schemas.microsoft.com/office/drawing/2014/main" id="{B88A9C69-8A0B-BA8B-53C9-75E95A2EE20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612572" y="0"/>
          <a:ext cx="914400" cy="734786"/>
        </a:xfrm>
        <a:prstGeom prst="rect">
          <a:avLst/>
        </a:prstGeom>
      </xdr:spPr>
    </xdr:pic>
    <xdr:clientData/>
  </xdr:twoCellAnchor>
  <xdr:twoCellAnchor editAs="oneCell">
    <xdr:from>
      <xdr:col>16</xdr:col>
      <xdr:colOff>68036</xdr:colOff>
      <xdr:row>0</xdr:row>
      <xdr:rowOff>0</xdr:rowOff>
    </xdr:from>
    <xdr:to>
      <xdr:col>17</xdr:col>
      <xdr:colOff>370115</xdr:colOff>
      <xdr:row>4</xdr:row>
      <xdr:rowOff>54429</xdr:rowOff>
    </xdr:to>
    <xdr:pic>
      <xdr:nvPicPr>
        <xdr:cNvPr id="11" name="Graphic 10" descr="Bar chart with solid fill">
          <a:extLst>
            <a:ext uri="{FF2B5EF4-FFF2-40B4-BE49-F238E27FC236}">
              <a16:creationId xmlns:a16="http://schemas.microsoft.com/office/drawing/2014/main" id="{4A1BA094-1E0A-6237-FCDF-9A99142F53E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865179" y="0"/>
          <a:ext cx="914400" cy="7620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DHI KESAVAN" refreshedDate="46043.749782986109" createdVersion="8" refreshedVersion="8" minRefreshableVersion="3" recordCount="29" xr:uid="{97363D10-E00F-4006-80DC-B44D493E1FE9}">
  <cacheSource type="worksheet">
    <worksheetSource name="Table1"/>
  </cacheSource>
  <cacheFields count="9">
    <cacheField name="Date" numFmtId="14">
      <sharedItems containsSemiMixedTypes="0" containsNonDate="0" containsDate="1" containsString="0" minDate="2020-06-08T00:00:00" maxDate="2021-12-22T00:00:00"/>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 numFmtId="0">
      <sharedItems count="6">
        <s v="tent"/>
        <s v="blender"/>
        <s v="action figure"/>
        <s v="novel"/>
        <s v="sneakers"/>
        <s v="moisturizer"/>
      </sharedItems>
    </cacheField>
    <cacheField name="Units sold" numFmtId="0">
      <sharedItems containsSemiMixedTypes="0" containsString="0" containsNumber="1" containsInteger="1" minValue="51" maxValue="146"/>
    </cacheField>
    <cacheField name="Unit price" numFmtId="0">
      <sharedItems containsSemiMixedTypes="0" containsString="0" containsNumber="1" containsInteger="1" minValue="600" maxValue="10000"/>
    </cacheField>
    <cacheField name="Cost of goods" numFmtId="0">
      <sharedItems containsSemiMixedTypes="0" containsString="0" containsNumber="1" containsInteger="1" minValue="400" maxValue="7000"/>
    </cacheField>
    <cacheField name="Total sales" numFmtId="0">
      <sharedItems containsSemiMixedTypes="0" containsString="0" containsNumber="1" containsInteger="1" minValue="49800" maxValue="1080000"/>
    </cacheField>
    <cacheField name="Profit" numFmtId="0">
      <sharedItems containsSemiMixedTypes="0" containsString="0" containsNumber="1" containsInteger="1" minValue="16600" maxValue="324000"/>
    </cacheField>
  </cacheFields>
  <extLst>
    <ext xmlns:x14="http://schemas.microsoft.com/office/spreadsheetml/2009/9/main" uri="{725AE2AE-9491-48be-B2B4-4EB974FC3084}">
      <x14:pivotCacheDefinition pivotCacheId="19131520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d v="2021-02-19T00:00:00"/>
    <x v="0"/>
    <x v="0"/>
    <x v="0"/>
    <n v="84"/>
    <n v="6000"/>
    <n v="4000"/>
    <n v="504000"/>
    <n v="168000"/>
  </r>
  <r>
    <d v="2021-09-07T00:00:00"/>
    <x v="1"/>
    <x v="1"/>
    <x v="1"/>
    <n v="128"/>
    <n v="3500"/>
    <n v="2500"/>
    <n v="448000"/>
    <n v="128000"/>
  </r>
  <r>
    <d v="2021-02-03T00:00:00"/>
    <x v="2"/>
    <x v="2"/>
    <x v="2"/>
    <n v="136"/>
    <n v="1200"/>
    <n v="800"/>
    <n v="163200"/>
    <n v="54400"/>
  </r>
  <r>
    <d v="2021-09-11T00:00:00"/>
    <x v="3"/>
    <x v="3"/>
    <x v="3"/>
    <n v="91"/>
    <n v="1000"/>
    <n v="700"/>
    <n v="91000"/>
    <n v="27300"/>
  </r>
  <r>
    <d v="2021-09-23T00:00:00"/>
    <x v="4"/>
    <x v="0"/>
    <x v="4"/>
    <n v="110"/>
    <n v="4000"/>
    <n v="3000"/>
    <n v="440000"/>
    <n v="110000"/>
  </r>
  <r>
    <d v="2020-10-01T00:00:00"/>
    <x v="5"/>
    <x v="1"/>
    <x v="2"/>
    <n v="51"/>
    <n v="1200"/>
    <n v="800"/>
    <n v="61200"/>
    <n v="20400"/>
  </r>
  <r>
    <d v="2020-08-05T00:00:00"/>
    <x v="6"/>
    <x v="3"/>
    <x v="3"/>
    <n v="78"/>
    <n v="1000"/>
    <n v="700"/>
    <n v="78000"/>
    <n v="23400"/>
  </r>
  <r>
    <d v="2020-11-06T00:00:00"/>
    <x v="7"/>
    <x v="2"/>
    <x v="0"/>
    <n v="146"/>
    <n v="6000"/>
    <n v="4000"/>
    <n v="876000"/>
    <n v="292000"/>
  </r>
  <r>
    <d v="2021-01-27T00:00:00"/>
    <x v="8"/>
    <x v="0"/>
    <x v="5"/>
    <n v="101"/>
    <n v="600"/>
    <n v="400"/>
    <n v="60600"/>
    <n v="20200"/>
  </r>
  <r>
    <d v="2021-09-03T00:00:00"/>
    <x v="9"/>
    <x v="2"/>
    <x v="0"/>
    <n v="52"/>
    <n v="6000"/>
    <n v="4000"/>
    <n v="312000"/>
    <n v="104000"/>
  </r>
  <r>
    <d v="2021-09-30T00:00:00"/>
    <x v="9"/>
    <x v="1"/>
    <x v="2"/>
    <n v="55"/>
    <n v="1200"/>
    <n v="800"/>
    <n v="66000"/>
    <n v="22000"/>
  </r>
  <r>
    <d v="2021-09-10T00:00:00"/>
    <x v="9"/>
    <x v="2"/>
    <x v="3"/>
    <n v="137"/>
    <n v="1000"/>
    <n v="700"/>
    <n v="137000"/>
    <n v="41100"/>
  </r>
  <r>
    <d v="2021-07-27T00:00:00"/>
    <x v="7"/>
    <x v="2"/>
    <x v="1"/>
    <n v="96"/>
    <n v="3500"/>
    <n v="2500"/>
    <n v="336000"/>
    <n v="96000"/>
  </r>
  <r>
    <d v="2021-10-09T00:00:00"/>
    <x v="8"/>
    <x v="1"/>
    <x v="4"/>
    <n v="52"/>
    <n v="4000"/>
    <n v="3000"/>
    <n v="208000"/>
    <n v="52000"/>
  </r>
  <r>
    <d v="2021-04-06T00:00:00"/>
    <x v="7"/>
    <x v="0"/>
    <x v="1"/>
    <n v="76"/>
    <n v="3500"/>
    <n v="2500"/>
    <n v="266000"/>
    <n v="76000"/>
  </r>
  <r>
    <d v="2021-06-15T00:00:00"/>
    <x v="1"/>
    <x v="3"/>
    <x v="4"/>
    <n v="145"/>
    <n v="4000"/>
    <n v="3000"/>
    <n v="580000"/>
    <n v="145000"/>
  </r>
  <r>
    <d v="2021-09-09T00:00:00"/>
    <x v="0"/>
    <x v="2"/>
    <x v="5"/>
    <n v="83"/>
    <n v="600"/>
    <n v="400"/>
    <n v="49800"/>
    <n v="16600"/>
  </r>
  <r>
    <d v="2021-08-13T00:00:00"/>
    <x v="4"/>
    <x v="2"/>
    <x v="3"/>
    <n v="91"/>
    <n v="1000"/>
    <n v="700"/>
    <n v="91000"/>
    <n v="27300"/>
  </r>
  <r>
    <d v="2021-08-27T00:00:00"/>
    <x v="5"/>
    <x v="0"/>
    <x v="5"/>
    <n v="108"/>
    <n v="10000"/>
    <n v="7000"/>
    <n v="1080000"/>
    <n v="324000"/>
  </r>
  <r>
    <d v="2021-04-07T00:00:00"/>
    <x v="2"/>
    <x v="3"/>
    <x v="4"/>
    <n v="144"/>
    <n v="4000"/>
    <n v="3000"/>
    <n v="576000"/>
    <n v="144000"/>
  </r>
  <r>
    <d v="2020-06-08T00:00:00"/>
    <x v="4"/>
    <x v="2"/>
    <x v="5"/>
    <n v="92"/>
    <n v="600"/>
    <n v="400"/>
    <n v="55200"/>
    <n v="18400"/>
  </r>
  <r>
    <d v="2021-12-21T00:00:00"/>
    <x v="7"/>
    <x v="0"/>
    <x v="0"/>
    <n v="71"/>
    <n v="6000"/>
    <n v="4000"/>
    <n v="426000"/>
    <n v="142000"/>
  </r>
  <r>
    <d v="2021-08-10T00:00:00"/>
    <x v="0"/>
    <x v="1"/>
    <x v="5"/>
    <n v="103"/>
    <n v="600"/>
    <n v="400"/>
    <n v="61800"/>
    <n v="20600"/>
  </r>
  <r>
    <d v="2021-08-13T00:00:00"/>
    <x v="4"/>
    <x v="2"/>
    <x v="3"/>
    <n v="91"/>
    <n v="1000"/>
    <n v="700"/>
    <n v="91000"/>
    <n v="27300"/>
  </r>
  <r>
    <d v="2021-08-27T00:00:00"/>
    <x v="5"/>
    <x v="0"/>
    <x v="5"/>
    <n v="108"/>
    <n v="10000"/>
    <n v="7000"/>
    <n v="1080000"/>
    <n v="324000"/>
  </r>
  <r>
    <d v="2021-04-07T00:00:00"/>
    <x v="2"/>
    <x v="3"/>
    <x v="4"/>
    <n v="144"/>
    <n v="4000"/>
    <n v="3000"/>
    <n v="576000"/>
    <n v="144000"/>
  </r>
  <r>
    <d v="2020-06-08T00:00:00"/>
    <x v="4"/>
    <x v="2"/>
    <x v="5"/>
    <n v="92"/>
    <n v="600"/>
    <n v="400"/>
    <n v="55200"/>
    <n v="18400"/>
  </r>
  <r>
    <d v="2021-12-21T00:00:00"/>
    <x v="7"/>
    <x v="0"/>
    <x v="0"/>
    <n v="71"/>
    <n v="6000"/>
    <n v="4000"/>
    <n v="426000"/>
    <n v="142000"/>
  </r>
  <r>
    <d v="2021-08-10T00:00:00"/>
    <x v="0"/>
    <x v="1"/>
    <x v="5"/>
    <n v="103"/>
    <n v="600"/>
    <n v="400"/>
    <n v="61800"/>
    <n v="20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3239C0-EE7C-4D19-A11A-F0856969FEF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13" firstHeaderRow="1" firstDataRow="1" firstDataCol="1"/>
  <pivotFields count="9">
    <pivotField numFmtId="14" showAll="0"/>
    <pivotField axis="axisRow" showAll="0">
      <items count="11">
        <item x="0"/>
        <item x="8"/>
        <item x="3"/>
        <item x="5"/>
        <item x="7"/>
        <item x="2"/>
        <item x="1"/>
        <item x="4"/>
        <item h="1" x="9"/>
        <item x="6"/>
        <item t="default"/>
      </items>
    </pivotField>
    <pivotField showAll="0">
      <items count="5">
        <item x="1"/>
        <item x="3"/>
        <item x="2"/>
        <item x="0"/>
        <item t="default"/>
      </items>
    </pivotField>
    <pivotField showAll="0">
      <items count="7">
        <item x="2"/>
        <item x="1"/>
        <item x="5"/>
        <item x="3"/>
        <item x="4"/>
        <item x="0"/>
        <item t="default"/>
      </items>
    </pivotField>
    <pivotField showAll="0"/>
    <pivotField showAll="0"/>
    <pivotField showAll="0"/>
    <pivotField dataField="1" showAll="0"/>
    <pivotField showAll="0"/>
  </pivotFields>
  <rowFields count="1">
    <field x="1"/>
  </rowFields>
  <rowItems count="10">
    <i>
      <x/>
    </i>
    <i>
      <x v="1"/>
    </i>
    <i>
      <x v="2"/>
    </i>
    <i>
      <x v="3"/>
    </i>
    <i>
      <x v="4"/>
    </i>
    <i>
      <x v="5"/>
    </i>
    <i>
      <x v="6"/>
    </i>
    <i>
      <x v="7"/>
    </i>
    <i>
      <x v="9"/>
    </i>
    <i t="grand">
      <x/>
    </i>
  </rowItems>
  <colItems count="1">
    <i/>
  </colItems>
  <dataFields count="1">
    <dataField name="Sum of Total sales" fld="7"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FF72E1-4263-450A-8BE0-35B1DAD3D45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0" firstHeaderRow="1" firstDataRow="1" firstDataCol="1"/>
  <pivotFields count="9">
    <pivotField numFmtId="14" showAll="0"/>
    <pivotField showAll="0">
      <items count="11">
        <item x="0"/>
        <item x="8"/>
        <item x="3"/>
        <item x="5"/>
        <item x="7"/>
        <item x="2"/>
        <item x="1"/>
        <item x="4"/>
        <item h="1" x="9"/>
        <item x="6"/>
        <item t="default"/>
      </items>
    </pivotField>
    <pivotField showAll="0">
      <items count="5">
        <item x="1"/>
        <item x="3"/>
        <item x="2"/>
        <item x="0"/>
        <item t="default"/>
      </items>
    </pivotField>
    <pivotField axis="axisRow" showAll="0">
      <items count="7">
        <item x="2"/>
        <item x="1"/>
        <item x="5"/>
        <item x="3"/>
        <item x="4"/>
        <item x="0"/>
        <item t="default"/>
      </items>
    </pivotField>
    <pivotField showAll="0"/>
    <pivotField showAll="0"/>
    <pivotField showAll="0"/>
    <pivotField dataField="1" showAll="0"/>
    <pivotField showAll="0"/>
  </pivotFields>
  <rowFields count="1">
    <field x="3"/>
  </rowFields>
  <rowItems count="7">
    <i>
      <x/>
    </i>
    <i>
      <x v="1"/>
    </i>
    <i>
      <x v="2"/>
    </i>
    <i>
      <x v="3"/>
    </i>
    <i>
      <x v="4"/>
    </i>
    <i>
      <x v="5"/>
    </i>
    <i t="grand">
      <x/>
    </i>
  </rowItems>
  <colItems count="1">
    <i/>
  </colItems>
  <dataFields count="1">
    <dataField name="Sum of Total sales" fld="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3C6669-F4EB-4786-B467-577E459E02A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9">
    <pivotField numFmtId="14" showAll="0"/>
    <pivotField showAll="0">
      <items count="11">
        <item x="0"/>
        <item x="8"/>
        <item x="3"/>
        <item x="5"/>
        <item x="7"/>
        <item x="2"/>
        <item x="1"/>
        <item x="4"/>
        <item h="1" x="9"/>
        <item x="6"/>
        <item t="default"/>
      </items>
    </pivotField>
    <pivotField axis="axisRow" showAll="0">
      <items count="5">
        <item x="1"/>
        <item x="3"/>
        <item x="2"/>
        <item x="0"/>
        <item t="default"/>
      </items>
    </pivotField>
    <pivotField showAll="0">
      <items count="7">
        <item x="2"/>
        <item x="1"/>
        <item x="5"/>
        <item x="3"/>
        <item x="4"/>
        <item x="0"/>
        <item t="default"/>
      </items>
    </pivotField>
    <pivotField showAll="0"/>
    <pivotField showAll="0"/>
    <pivotField showAll="0"/>
    <pivotField dataField="1" showAll="0"/>
    <pivotField showAll="0"/>
  </pivotFields>
  <rowFields count="1">
    <field x="2"/>
  </rowFields>
  <rowItems count="5">
    <i>
      <x/>
    </i>
    <i>
      <x v="1"/>
    </i>
    <i>
      <x v="2"/>
    </i>
    <i>
      <x v="3"/>
    </i>
    <i t="grand">
      <x/>
    </i>
  </rowItems>
  <colItems count="1">
    <i/>
  </colItems>
  <dataFields count="1">
    <dataField name="Sum of Total sales" fld="7" baseField="0"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 count="1" selected="0">
            <x v="0"/>
          </reference>
        </references>
      </pivotArea>
    </chartFormat>
    <chartFormat chart="3" format="12">
      <pivotArea type="data" outline="0" fieldPosition="0">
        <references count="2">
          <reference field="4294967294" count="1" selected="0">
            <x v="0"/>
          </reference>
          <reference field="2" count="1" selected="0">
            <x v="1"/>
          </reference>
        </references>
      </pivotArea>
    </chartFormat>
    <chartFormat chart="3" format="13">
      <pivotArea type="data" outline="0" fieldPosition="0">
        <references count="2">
          <reference field="4294967294" count="1" selected="0">
            <x v="0"/>
          </reference>
          <reference field="2" count="1" selected="0">
            <x v="2"/>
          </reference>
        </references>
      </pivotArea>
    </chartFormat>
    <chartFormat chart="3" format="14">
      <pivotArea type="data" outline="0" fieldPosition="0">
        <references count="2">
          <reference field="4294967294" count="1" selected="0">
            <x v="0"/>
          </reference>
          <reference field="2"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 count="1" selected="0">
            <x v="0"/>
          </reference>
        </references>
      </pivotArea>
    </chartFormat>
    <chartFormat chart="5" format="12">
      <pivotArea type="data" outline="0" fieldPosition="0">
        <references count="2">
          <reference field="4294967294" count="1" selected="0">
            <x v="0"/>
          </reference>
          <reference field="2" count="1" selected="0">
            <x v="1"/>
          </reference>
        </references>
      </pivotArea>
    </chartFormat>
    <chartFormat chart="5" format="13">
      <pivotArea type="data" outline="0" fieldPosition="0">
        <references count="2">
          <reference field="4294967294" count="1" selected="0">
            <x v="0"/>
          </reference>
          <reference field="2" count="1" selected="0">
            <x v="2"/>
          </reference>
        </references>
      </pivotArea>
    </chartFormat>
    <chartFormat chart="5"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5BDEA2-5229-4BF7-8718-8376D7CCAF1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J3:K10" firstHeaderRow="1" firstDataRow="1" firstDataCol="1"/>
  <pivotFields count="9">
    <pivotField numFmtId="14" showAll="0"/>
    <pivotField showAll="0"/>
    <pivotField showAll="0"/>
    <pivotField axis="axisRow" showAll="0">
      <items count="7">
        <item x="2"/>
        <item x="1"/>
        <item x="5"/>
        <item x="3"/>
        <item x="4"/>
        <item x="0"/>
        <item t="default"/>
      </items>
    </pivotField>
    <pivotField dataField="1"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Sum of Units sold" fld="4" baseField="0" baseItem="0"/>
  </dataFields>
  <chartFormats count="2">
    <chartFormat chart="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4F28BC46-7AA4-456C-919F-7BF8822290D9}" sourceName="Sales person">
  <pivotTables>
    <pivotTable tabId="2" name="PivotTable2"/>
    <pivotTable tabId="2" name="PivotTable1"/>
    <pivotTable tabId="2" name="PivotTable3"/>
  </pivotTables>
  <data>
    <tabular pivotCacheId="1913152008">
      <items count="10">
        <i x="0" s="1"/>
        <i x="8" s="1"/>
        <i x="3" s="1"/>
        <i x="5" s="1"/>
        <i x="7" s="1"/>
        <i x="2" s="1"/>
        <i x="1" s="1"/>
        <i x="4" s="1"/>
        <i x="9"/>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291A2CD-1689-4F62-AE0D-E5836278C099}" sourceName="Region">
  <pivotTables>
    <pivotTable tabId="2" name="PivotTable2"/>
    <pivotTable tabId="2" name="PivotTable1"/>
    <pivotTable tabId="2" name="PivotTable3"/>
  </pivotTables>
  <data>
    <tabular pivotCacheId="1913152008">
      <items count="4">
        <i x="1" s="1"/>
        <i x="3" s="1"/>
        <i x="2"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D2DCBDB-E955-4F77-8AE3-98EDC0F64DD6}" sourceName="Product">
  <pivotTables>
    <pivotTable tabId="2" name="PivotTable2"/>
    <pivotTable tabId="2" name="PivotTable1"/>
    <pivotTable tabId="2" name="PivotTable3"/>
    <pivotTable tabId="2" name="PivotTable4"/>
  </pivotTables>
  <data>
    <tabular pivotCacheId="1913152008">
      <items count="6">
        <i x="2" s="1"/>
        <i x="1" s="1"/>
        <i x="5" s="1"/>
        <i x="3"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FF1E6DA-23D5-4464-9775-30E189114EE7}" cache="Slicer_Region" caption="Region" columnCount="2" showCaption="0" rowHeight="234950"/>
  <slicer name="Product" xr10:uid="{05CC9A8E-105C-46B4-A24F-D129682C6D8F}"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55A03CEB-9F91-42B8-B76E-58CD997EF0C1}" cache="Slicer_Sales_person" caption="Sales person" startItem="2" rowHeight="234950"/>
  <slicer name="Sales person 2" xr10:uid="{A9E83209-17D9-45C3-817F-BEE82D05B5EC}" cache="Slicer_Sales_person" caption="Sales person" style="SlicerStyleDark1" rowHeight="234950"/>
  <slicer name="Region 1" xr10:uid="{F1563C8A-B615-4FCB-9332-BEE9787B1765}" cache="Slicer_Region" caption="Region" columnCount="2" showCaption="0" style="SlicerStyleDark1" rowHeight="234950"/>
  <slicer name="Product 1" xr10:uid="{7C01BB1D-1D0E-4E56-BE70-1255FB736F78}" cache="Slicer_Product" caption="Product" rowHeight="234950"/>
  <slicer name="Product 2" xr10:uid="{01324880-7EA2-483F-A4F8-41375687877B}" cache="Slicer_Product" caption="Product"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9B239D-7FD8-42A9-8774-B402839A9DD8}" name="Table1" displayName="Table1" ref="A1:I30" totalsRowShown="0" headerRowDxfId="1">
  <autoFilter ref="A1:I30" xr:uid="{BD9B239D-7FD8-42A9-8774-B402839A9DD8}"/>
  <tableColumns count="9">
    <tableColumn id="1" xr3:uid="{2F025F16-4B8F-44D1-B849-C960B75935F7}" name="Date" dataDxfId="0"/>
    <tableColumn id="2" xr3:uid="{F17DD48E-3F73-4E43-AB7E-E6C42DB51E24}" name="Sales person"/>
    <tableColumn id="3" xr3:uid="{47E791BE-535C-4CF1-BF0F-9FA2F22B5E05}" name="Region"/>
    <tableColumn id="4" xr3:uid="{469CB516-59B5-41DB-A7F1-E03FD621EB01}" name="Product"/>
    <tableColumn id="5" xr3:uid="{9E3FDCF2-C224-4488-B957-B15CC234A690}" name="Units sold"/>
    <tableColumn id="6" xr3:uid="{13E4F421-4EA5-4F78-BA3C-38C12AEF48F7}" name="Unit price"/>
    <tableColumn id="7" xr3:uid="{E8CDDA47-9619-40E4-8569-EF189FA9011B}" name="Cost of goods"/>
    <tableColumn id="8" xr3:uid="{D0100378-9652-478C-9DC4-E46457CA64FC}" name="Total sales"/>
    <tableColumn id="9" xr3:uid="{E78055D0-E1A0-4CF6-8667-AEE7C5DB58D6}" name="Profit">
      <calculatedColumnFormula>H2-(G2*E2)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2D077-E484-4007-845F-34B8F5490921}">
  <dimension ref="A3:K13"/>
  <sheetViews>
    <sheetView topLeftCell="B1" zoomScale="70" workbookViewId="0">
      <selection activeCell="G3" sqref="G3:H13"/>
    </sheetView>
  </sheetViews>
  <sheetFormatPr defaultRowHeight="14.4" x14ac:dyDescent="0.3"/>
  <cols>
    <col min="1" max="1" width="12.5546875" bestFit="1" customWidth="1"/>
    <col min="2" max="2" width="16.21875" bestFit="1" customWidth="1"/>
    <col min="4" max="4" width="12.5546875" bestFit="1" customWidth="1"/>
    <col min="5" max="5" width="16.21875" bestFit="1" customWidth="1"/>
    <col min="7" max="7" width="12.5546875" bestFit="1" customWidth="1"/>
    <col min="8" max="8" width="16.21875" bestFit="1" customWidth="1"/>
    <col min="10" max="10" width="12.5546875" bestFit="1" customWidth="1"/>
    <col min="11" max="11" width="15.77734375" bestFit="1" customWidth="1"/>
  </cols>
  <sheetData>
    <row r="3" spans="1:11" x14ac:dyDescent="0.3">
      <c r="A3" s="4" t="s">
        <v>33</v>
      </c>
      <c r="B3" t="s">
        <v>35</v>
      </c>
      <c r="D3" s="4" t="s">
        <v>33</v>
      </c>
      <c r="E3" t="s">
        <v>35</v>
      </c>
      <c r="G3" s="4" t="s">
        <v>33</v>
      </c>
      <c r="H3" t="s">
        <v>35</v>
      </c>
      <c r="J3" s="4" t="s">
        <v>33</v>
      </c>
      <c r="K3" t="s">
        <v>36</v>
      </c>
    </row>
    <row r="4" spans="1:11" x14ac:dyDescent="0.3">
      <c r="A4" s="5" t="s">
        <v>19</v>
      </c>
      <c r="B4">
        <v>840800</v>
      </c>
      <c r="D4" s="5" t="s">
        <v>24</v>
      </c>
      <c r="E4">
        <v>224400</v>
      </c>
      <c r="G4" s="5" t="s">
        <v>17</v>
      </c>
      <c r="H4">
        <v>677400</v>
      </c>
      <c r="J4" s="5" t="s">
        <v>24</v>
      </c>
      <c r="K4">
        <v>242</v>
      </c>
    </row>
    <row r="5" spans="1:11" x14ac:dyDescent="0.3">
      <c r="A5" s="5" t="s">
        <v>21</v>
      </c>
      <c r="B5">
        <v>1901000</v>
      </c>
      <c r="D5" s="5" t="s">
        <v>23</v>
      </c>
      <c r="E5">
        <v>1050000</v>
      </c>
      <c r="G5" s="5" t="s">
        <v>15</v>
      </c>
      <c r="H5">
        <v>268600</v>
      </c>
      <c r="J5" s="5" t="s">
        <v>23</v>
      </c>
      <c r="K5">
        <v>300</v>
      </c>
    </row>
    <row r="6" spans="1:11" x14ac:dyDescent="0.3">
      <c r="A6" s="5" t="s">
        <v>20</v>
      </c>
      <c r="B6">
        <v>1717400</v>
      </c>
      <c r="D6" s="5" t="s">
        <v>27</v>
      </c>
      <c r="E6">
        <v>2504400</v>
      </c>
      <c r="G6" s="5" t="s">
        <v>10</v>
      </c>
      <c r="H6">
        <v>91000</v>
      </c>
      <c r="J6" s="5" t="s">
        <v>27</v>
      </c>
      <c r="K6">
        <v>790</v>
      </c>
    </row>
    <row r="7" spans="1:11" x14ac:dyDescent="0.3">
      <c r="A7" s="5" t="s">
        <v>18</v>
      </c>
      <c r="B7">
        <v>4282600</v>
      </c>
      <c r="D7" s="5" t="s">
        <v>25</v>
      </c>
      <c r="E7">
        <v>351000</v>
      </c>
      <c r="G7" s="5" t="s">
        <v>12</v>
      </c>
      <c r="H7">
        <v>2221200</v>
      </c>
      <c r="J7" s="5" t="s">
        <v>25</v>
      </c>
      <c r="K7">
        <v>488</v>
      </c>
    </row>
    <row r="8" spans="1:11" x14ac:dyDescent="0.3">
      <c r="A8" s="5" t="s">
        <v>34</v>
      </c>
      <c r="B8">
        <v>8741800</v>
      </c>
      <c r="D8" s="5" t="s">
        <v>26</v>
      </c>
      <c r="E8">
        <v>2380000</v>
      </c>
      <c r="G8" s="5" t="s">
        <v>14</v>
      </c>
      <c r="H8">
        <v>2330000</v>
      </c>
      <c r="J8" s="5" t="s">
        <v>26</v>
      </c>
      <c r="K8">
        <v>595</v>
      </c>
    </row>
    <row r="9" spans="1:11" x14ac:dyDescent="0.3">
      <c r="D9" s="5" t="s">
        <v>22</v>
      </c>
      <c r="E9">
        <v>2232000</v>
      </c>
      <c r="G9" s="5" t="s">
        <v>9</v>
      </c>
      <c r="H9">
        <v>1315200</v>
      </c>
      <c r="J9" s="5" t="s">
        <v>22</v>
      </c>
      <c r="K9">
        <v>424</v>
      </c>
    </row>
    <row r="10" spans="1:11" x14ac:dyDescent="0.3">
      <c r="D10" s="5" t="s">
        <v>34</v>
      </c>
      <c r="E10">
        <v>8741800</v>
      </c>
      <c r="G10" s="5" t="s">
        <v>8</v>
      </c>
      <c r="H10">
        <v>1028000</v>
      </c>
      <c r="J10" s="5" t="s">
        <v>34</v>
      </c>
      <c r="K10">
        <v>2839</v>
      </c>
    </row>
    <row r="11" spans="1:11" x14ac:dyDescent="0.3">
      <c r="G11" s="5" t="s">
        <v>11</v>
      </c>
      <c r="H11">
        <v>732400</v>
      </c>
    </row>
    <row r="12" spans="1:11" x14ac:dyDescent="0.3">
      <c r="G12" s="5" t="s">
        <v>13</v>
      </c>
      <c r="H12">
        <v>78000</v>
      </c>
    </row>
    <row r="13" spans="1:11" x14ac:dyDescent="0.3">
      <c r="G13" s="5" t="s">
        <v>34</v>
      </c>
      <c r="H13">
        <v>8741800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C21BB-E3EF-44CC-86B8-CE423F5BA377}">
  <dimension ref="A1:K30"/>
  <sheetViews>
    <sheetView workbookViewId="0">
      <selection activeCell="H16" sqref="H16"/>
    </sheetView>
  </sheetViews>
  <sheetFormatPr defaultRowHeight="14.4" x14ac:dyDescent="0.3"/>
  <cols>
    <col min="1" max="1" width="10.33203125" bestFit="1" customWidth="1"/>
    <col min="2" max="2" width="13.33203125" customWidth="1"/>
    <col min="4" max="4" width="11.33203125" customWidth="1"/>
    <col min="5" max="5" width="11.109375" customWidth="1"/>
    <col min="6" max="6" width="11" customWidth="1"/>
    <col min="7" max="7" width="14.33203125" customWidth="1"/>
    <col min="8" max="8" width="11.5546875" customWidth="1"/>
    <col min="9" max="9" width="11" customWidth="1"/>
    <col min="11" max="11" width="12.109375" customWidth="1"/>
  </cols>
  <sheetData>
    <row r="1" spans="1:11" x14ac:dyDescent="0.3">
      <c r="A1" s="1" t="s">
        <v>0</v>
      </c>
      <c r="B1" s="1" t="s">
        <v>1</v>
      </c>
      <c r="C1" s="1" t="s">
        <v>2</v>
      </c>
      <c r="D1" s="1" t="s">
        <v>3</v>
      </c>
      <c r="E1" s="1" t="s">
        <v>4</v>
      </c>
      <c r="F1" s="1" t="s">
        <v>5</v>
      </c>
      <c r="G1" s="1" t="s">
        <v>6</v>
      </c>
      <c r="H1" s="1" t="s">
        <v>7</v>
      </c>
      <c r="I1" s="1" t="s">
        <v>28</v>
      </c>
      <c r="J1" s="2"/>
      <c r="K1" s="1" t="s">
        <v>29</v>
      </c>
    </row>
    <row r="2" spans="1:11" x14ac:dyDescent="0.3">
      <c r="A2" s="3">
        <v>44246</v>
      </c>
      <c r="B2" t="s">
        <v>17</v>
      </c>
      <c r="C2" t="s">
        <v>18</v>
      </c>
      <c r="D2" t="s">
        <v>22</v>
      </c>
      <c r="E2">
        <v>84</v>
      </c>
      <c r="F2">
        <v>6000</v>
      </c>
      <c r="G2">
        <v>4000</v>
      </c>
      <c r="H2">
        <v>504000</v>
      </c>
      <c r="I2">
        <f>H2-(G2*E2)</f>
        <v>168000</v>
      </c>
      <c r="K2">
        <f>SUM(H2:H30)</f>
        <v>9256800</v>
      </c>
    </row>
    <row r="3" spans="1:11" x14ac:dyDescent="0.3">
      <c r="A3" s="3">
        <v>44446</v>
      </c>
      <c r="B3" t="s">
        <v>8</v>
      </c>
      <c r="C3" t="s">
        <v>19</v>
      </c>
      <c r="D3" t="s">
        <v>23</v>
      </c>
      <c r="E3">
        <v>128</v>
      </c>
      <c r="F3">
        <v>3500</v>
      </c>
      <c r="G3">
        <v>2500</v>
      </c>
      <c r="H3">
        <v>448000</v>
      </c>
      <c r="I3">
        <f t="shared" ref="I3:I24" si="0">H3-(G3*E3)</f>
        <v>128000</v>
      </c>
      <c r="K3" s="1" t="s">
        <v>30</v>
      </c>
    </row>
    <row r="4" spans="1:11" x14ac:dyDescent="0.3">
      <c r="A4" s="3">
        <v>44230</v>
      </c>
      <c r="B4" t="s">
        <v>9</v>
      </c>
      <c r="C4" t="s">
        <v>20</v>
      </c>
      <c r="D4" t="s">
        <v>24</v>
      </c>
      <c r="E4">
        <v>136</v>
      </c>
      <c r="F4">
        <v>1200</v>
      </c>
      <c r="G4">
        <v>800</v>
      </c>
      <c r="H4">
        <v>163200</v>
      </c>
      <c r="I4">
        <f t="shared" si="0"/>
        <v>54400</v>
      </c>
      <c r="K4">
        <f>SUM(E2:E30)</f>
        <v>2839</v>
      </c>
    </row>
    <row r="5" spans="1:11" x14ac:dyDescent="0.3">
      <c r="A5" s="3">
        <v>44450</v>
      </c>
      <c r="B5" t="s">
        <v>10</v>
      </c>
      <c r="C5" t="s">
        <v>21</v>
      </c>
      <c r="D5" t="s">
        <v>25</v>
      </c>
      <c r="E5">
        <v>91</v>
      </c>
      <c r="F5">
        <v>1000</v>
      </c>
      <c r="G5">
        <v>700</v>
      </c>
      <c r="H5">
        <v>91000</v>
      </c>
      <c r="I5">
        <f t="shared" si="0"/>
        <v>27300</v>
      </c>
      <c r="K5" s="1" t="s">
        <v>32</v>
      </c>
    </row>
    <row r="6" spans="1:11" x14ac:dyDescent="0.3">
      <c r="A6" s="3">
        <v>44462</v>
      </c>
      <c r="B6" t="s">
        <v>11</v>
      </c>
      <c r="C6" t="s">
        <v>18</v>
      </c>
      <c r="D6" t="s">
        <v>26</v>
      </c>
      <c r="E6">
        <v>110</v>
      </c>
      <c r="F6">
        <v>4000</v>
      </c>
      <c r="G6">
        <v>3000</v>
      </c>
      <c r="H6">
        <v>440000</v>
      </c>
      <c r="I6">
        <f t="shared" si="0"/>
        <v>110000</v>
      </c>
      <c r="K6">
        <f>SUM(I2:I30)</f>
        <v>2749000</v>
      </c>
    </row>
    <row r="7" spans="1:11" x14ac:dyDescent="0.3">
      <c r="A7" s="3">
        <v>44105</v>
      </c>
      <c r="B7" t="s">
        <v>12</v>
      </c>
      <c r="C7" t="s">
        <v>19</v>
      </c>
      <c r="D7" t="s">
        <v>24</v>
      </c>
      <c r="E7">
        <v>51</v>
      </c>
      <c r="F7">
        <v>1200</v>
      </c>
      <c r="G7">
        <v>800</v>
      </c>
      <c r="H7">
        <v>61200</v>
      </c>
      <c r="I7">
        <f t="shared" si="0"/>
        <v>20400</v>
      </c>
      <c r="K7" s="1" t="s">
        <v>31</v>
      </c>
    </row>
    <row r="8" spans="1:11" x14ac:dyDescent="0.3">
      <c r="A8" s="3">
        <v>44048</v>
      </c>
      <c r="B8" t="s">
        <v>13</v>
      </c>
      <c r="C8" t="s">
        <v>21</v>
      </c>
      <c r="D8" t="s">
        <v>25</v>
      </c>
      <c r="E8">
        <v>78</v>
      </c>
      <c r="F8">
        <v>1000</v>
      </c>
      <c r="G8">
        <v>700</v>
      </c>
      <c r="H8">
        <v>78000</v>
      </c>
      <c r="I8">
        <f t="shared" si="0"/>
        <v>23400</v>
      </c>
      <c r="K8">
        <f>AVERAGE(H2:H30)</f>
        <v>319200</v>
      </c>
    </row>
    <row r="9" spans="1:11" x14ac:dyDescent="0.3">
      <c r="A9" s="3">
        <v>44141</v>
      </c>
      <c r="B9" t="s">
        <v>14</v>
      </c>
      <c r="C9" t="s">
        <v>20</v>
      </c>
      <c r="D9" t="s">
        <v>22</v>
      </c>
      <c r="E9">
        <v>146</v>
      </c>
      <c r="F9">
        <v>6000</v>
      </c>
      <c r="G9">
        <v>4000</v>
      </c>
      <c r="H9">
        <v>876000</v>
      </c>
      <c r="I9">
        <f t="shared" si="0"/>
        <v>292000</v>
      </c>
    </row>
    <row r="10" spans="1:11" x14ac:dyDescent="0.3">
      <c r="A10" s="3">
        <v>44223</v>
      </c>
      <c r="B10" t="s">
        <v>15</v>
      </c>
      <c r="C10" t="s">
        <v>18</v>
      </c>
      <c r="D10" t="s">
        <v>27</v>
      </c>
      <c r="E10">
        <v>101</v>
      </c>
      <c r="F10">
        <v>600</v>
      </c>
      <c r="G10">
        <v>400</v>
      </c>
      <c r="H10">
        <v>60600</v>
      </c>
      <c r="I10">
        <f t="shared" si="0"/>
        <v>20200</v>
      </c>
    </row>
    <row r="11" spans="1:11" x14ac:dyDescent="0.3">
      <c r="A11" s="3">
        <v>44442</v>
      </c>
      <c r="B11" t="s">
        <v>16</v>
      </c>
      <c r="C11" t="s">
        <v>20</v>
      </c>
      <c r="D11" t="s">
        <v>22</v>
      </c>
      <c r="E11">
        <v>52</v>
      </c>
      <c r="F11">
        <v>6000</v>
      </c>
      <c r="G11">
        <v>4000</v>
      </c>
      <c r="H11">
        <v>312000</v>
      </c>
      <c r="I11">
        <f t="shared" si="0"/>
        <v>104000</v>
      </c>
    </row>
    <row r="12" spans="1:11" x14ac:dyDescent="0.3">
      <c r="A12" s="3">
        <v>44469</v>
      </c>
      <c r="B12" t="s">
        <v>16</v>
      </c>
      <c r="C12" t="s">
        <v>19</v>
      </c>
      <c r="D12" t="s">
        <v>24</v>
      </c>
      <c r="E12">
        <v>55</v>
      </c>
      <c r="F12">
        <v>1200</v>
      </c>
      <c r="G12">
        <v>800</v>
      </c>
      <c r="H12">
        <v>66000</v>
      </c>
      <c r="I12">
        <f t="shared" si="0"/>
        <v>22000</v>
      </c>
    </row>
    <row r="13" spans="1:11" x14ac:dyDescent="0.3">
      <c r="A13" s="3">
        <v>44449</v>
      </c>
      <c r="B13" t="s">
        <v>16</v>
      </c>
      <c r="C13" t="s">
        <v>20</v>
      </c>
      <c r="D13" t="s">
        <v>25</v>
      </c>
      <c r="E13">
        <v>137</v>
      </c>
      <c r="F13">
        <v>1000</v>
      </c>
      <c r="G13">
        <v>700</v>
      </c>
      <c r="H13">
        <v>137000</v>
      </c>
      <c r="I13">
        <f t="shared" si="0"/>
        <v>41100</v>
      </c>
    </row>
    <row r="14" spans="1:11" x14ac:dyDescent="0.3">
      <c r="A14" s="3">
        <v>44404</v>
      </c>
      <c r="B14" t="s">
        <v>14</v>
      </c>
      <c r="C14" t="s">
        <v>20</v>
      </c>
      <c r="D14" t="s">
        <v>23</v>
      </c>
      <c r="E14">
        <v>96</v>
      </c>
      <c r="F14">
        <v>3500</v>
      </c>
      <c r="G14">
        <v>2500</v>
      </c>
      <c r="H14">
        <v>336000</v>
      </c>
      <c r="I14">
        <f t="shared" si="0"/>
        <v>96000</v>
      </c>
    </row>
    <row r="15" spans="1:11" x14ac:dyDescent="0.3">
      <c r="A15" s="3">
        <v>44478</v>
      </c>
      <c r="B15" t="s">
        <v>15</v>
      </c>
      <c r="C15" t="s">
        <v>19</v>
      </c>
      <c r="D15" t="s">
        <v>26</v>
      </c>
      <c r="E15">
        <v>52</v>
      </c>
      <c r="F15">
        <v>4000</v>
      </c>
      <c r="G15">
        <v>3000</v>
      </c>
      <c r="H15">
        <v>208000</v>
      </c>
      <c r="I15">
        <f t="shared" si="0"/>
        <v>52000</v>
      </c>
    </row>
    <row r="16" spans="1:11" x14ac:dyDescent="0.3">
      <c r="A16" s="3">
        <v>44292</v>
      </c>
      <c r="B16" t="s">
        <v>14</v>
      </c>
      <c r="C16" t="s">
        <v>18</v>
      </c>
      <c r="D16" t="s">
        <v>23</v>
      </c>
      <c r="E16">
        <v>76</v>
      </c>
      <c r="F16">
        <v>3500</v>
      </c>
      <c r="G16">
        <v>2500</v>
      </c>
      <c r="H16">
        <v>266000</v>
      </c>
      <c r="I16">
        <f t="shared" si="0"/>
        <v>76000</v>
      </c>
    </row>
    <row r="17" spans="1:9" x14ac:dyDescent="0.3">
      <c r="A17" s="3">
        <v>44362</v>
      </c>
      <c r="B17" t="s">
        <v>8</v>
      </c>
      <c r="C17" t="s">
        <v>21</v>
      </c>
      <c r="D17" t="s">
        <v>26</v>
      </c>
      <c r="E17">
        <v>145</v>
      </c>
      <c r="F17">
        <v>4000</v>
      </c>
      <c r="G17">
        <v>3000</v>
      </c>
      <c r="H17">
        <v>580000</v>
      </c>
      <c r="I17">
        <f t="shared" si="0"/>
        <v>145000</v>
      </c>
    </row>
    <row r="18" spans="1:9" x14ac:dyDescent="0.3">
      <c r="A18" s="3">
        <v>44448</v>
      </c>
      <c r="B18" t="s">
        <v>17</v>
      </c>
      <c r="C18" t="s">
        <v>20</v>
      </c>
      <c r="D18" t="s">
        <v>27</v>
      </c>
      <c r="E18">
        <v>83</v>
      </c>
      <c r="F18">
        <v>600</v>
      </c>
      <c r="G18">
        <v>400</v>
      </c>
      <c r="H18">
        <v>49800</v>
      </c>
      <c r="I18">
        <f t="shared" si="0"/>
        <v>16600</v>
      </c>
    </row>
    <row r="19" spans="1:9" x14ac:dyDescent="0.3">
      <c r="A19" s="3">
        <v>44421</v>
      </c>
      <c r="B19" t="s">
        <v>11</v>
      </c>
      <c r="C19" t="s">
        <v>20</v>
      </c>
      <c r="D19" t="s">
        <v>25</v>
      </c>
      <c r="E19">
        <v>91</v>
      </c>
      <c r="F19">
        <v>1000</v>
      </c>
      <c r="G19">
        <v>700</v>
      </c>
      <c r="H19">
        <v>91000</v>
      </c>
      <c r="I19">
        <f t="shared" si="0"/>
        <v>27300</v>
      </c>
    </row>
    <row r="20" spans="1:9" x14ac:dyDescent="0.3">
      <c r="A20" s="3">
        <v>44435</v>
      </c>
      <c r="B20" t="s">
        <v>12</v>
      </c>
      <c r="C20" t="s">
        <v>18</v>
      </c>
      <c r="D20" t="s">
        <v>27</v>
      </c>
      <c r="E20">
        <v>108</v>
      </c>
      <c r="F20">
        <v>10000</v>
      </c>
      <c r="G20">
        <v>7000</v>
      </c>
      <c r="H20">
        <v>1080000</v>
      </c>
      <c r="I20">
        <f t="shared" si="0"/>
        <v>324000</v>
      </c>
    </row>
    <row r="21" spans="1:9" x14ac:dyDescent="0.3">
      <c r="A21" s="3">
        <v>44293</v>
      </c>
      <c r="B21" t="s">
        <v>9</v>
      </c>
      <c r="C21" t="s">
        <v>21</v>
      </c>
      <c r="D21" t="s">
        <v>26</v>
      </c>
      <c r="E21">
        <v>144</v>
      </c>
      <c r="F21">
        <v>4000</v>
      </c>
      <c r="G21">
        <v>3000</v>
      </c>
      <c r="H21">
        <v>576000</v>
      </c>
      <c r="I21">
        <f t="shared" si="0"/>
        <v>144000</v>
      </c>
    </row>
    <row r="22" spans="1:9" x14ac:dyDescent="0.3">
      <c r="A22" s="3">
        <v>43990</v>
      </c>
      <c r="B22" t="s">
        <v>11</v>
      </c>
      <c r="C22" t="s">
        <v>20</v>
      </c>
      <c r="D22" t="s">
        <v>27</v>
      </c>
      <c r="E22">
        <v>92</v>
      </c>
      <c r="F22">
        <v>600</v>
      </c>
      <c r="G22">
        <v>400</v>
      </c>
      <c r="H22">
        <v>55200</v>
      </c>
      <c r="I22">
        <f t="shared" si="0"/>
        <v>18400</v>
      </c>
    </row>
    <row r="23" spans="1:9" x14ac:dyDescent="0.3">
      <c r="A23" s="3">
        <v>44551</v>
      </c>
      <c r="B23" t="s">
        <v>14</v>
      </c>
      <c r="C23" t="s">
        <v>18</v>
      </c>
      <c r="D23" t="s">
        <v>22</v>
      </c>
      <c r="E23">
        <v>71</v>
      </c>
      <c r="F23">
        <v>6000</v>
      </c>
      <c r="G23">
        <v>4000</v>
      </c>
      <c r="H23">
        <v>426000</v>
      </c>
      <c r="I23">
        <f t="shared" si="0"/>
        <v>142000</v>
      </c>
    </row>
    <row r="24" spans="1:9" x14ac:dyDescent="0.3">
      <c r="A24" s="3">
        <v>44418</v>
      </c>
      <c r="B24" t="s">
        <v>17</v>
      </c>
      <c r="C24" t="s">
        <v>19</v>
      </c>
      <c r="D24" t="s">
        <v>27</v>
      </c>
      <c r="E24">
        <v>103</v>
      </c>
      <c r="F24">
        <v>600</v>
      </c>
      <c r="G24">
        <v>400</v>
      </c>
      <c r="H24">
        <v>61800</v>
      </c>
      <c r="I24">
        <f t="shared" si="0"/>
        <v>20600</v>
      </c>
    </row>
    <row r="25" spans="1:9" x14ac:dyDescent="0.3">
      <c r="A25" s="3">
        <v>44421</v>
      </c>
      <c r="B25" t="s">
        <v>11</v>
      </c>
      <c r="C25" t="s">
        <v>20</v>
      </c>
      <c r="D25" t="s">
        <v>25</v>
      </c>
      <c r="E25">
        <v>91</v>
      </c>
      <c r="F25">
        <v>1000</v>
      </c>
      <c r="G25">
        <v>700</v>
      </c>
      <c r="H25">
        <v>91000</v>
      </c>
      <c r="I25">
        <f t="shared" ref="I25:I30" si="1">H25-(G25*E25)</f>
        <v>27300</v>
      </c>
    </row>
    <row r="26" spans="1:9" x14ac:dyDescent="0.3">
      <c r="A26" s="3">
        <v>44435</v>
      </c>
      <c r="B26" t="s">
        <v>12</v>
      </c>
      <c r="C26" t="s">
        <v>18</v>
      </c>
      <c r="D26" t="s">
        <v>27</v>
      </c>
      <c r="E26">
        <v>108</v>
      </c>
      <c r="F26">
        <v>10000</v>
      </c>
      <c r="G26">
        <v>7000</v>
      </c>
      <c r="H26">
        <v>1080000</v>
      </c>
      <c r="I26">
        <f t="shared" si="1"/>
        <v>324000</v>
      </c>
    </row>
    <row r="27" spans="1:9" x14ac:dyDescent="0.3">
      <c r="A27" s="3">
        <v>44293</v>
      </c>
      <c r="B27" t="s">
        <v>9</v>
      </c>
      <c r="C27" t="s">
        <v>21</v>
      </c>
      <c r="D27" t="s">
        <v>26</v>
      </c>
      <c r="E27">
        <v>144</v>
      </c>
      <c r="F27">
        <v>4000</v>
      </c>
      <c r="G27">
        <v>3000</v>
      </c>
      <c r="H27">
        <v>576000</v>
      </c>
      <c r="I27">
        <f t="shared" si="1"/>
        <v>144000</v>
      </c>
    </row>
    <row r="28" spans="1:9" x14ac:dyDescent="0.3">
      <c r="A28" s="3">
        <v>43990</v>
      </c>
      <c r="B28" t="s">
        <v>11</v>
      </c>
      <c r="C28" t="s">
        <v>20</v>
      </c>
      <c r="D28" t="s">
        <v>27</v>
      </c>
      <c r="E28">
        <v>92</v>
      </c>
      <c r="F28">
        <v>600</v>
      </c>
      <c r="G28">
        <v>400</v>
      </c>
      <c r="H28">
        <v>55200</v>
      </c>
      <c r="I28">
        <f t="shared" si="1"/>
        <v>18400</v>
      </c>
    </row>
    <row r="29" spans="1:9" x14ac:dyDescent="0.3">
      <c r="A29" s="3">
        <v>44551</v>
      </c>
      <c r="B29" t="s">
        <v>14</v>
      </c>
      <c r="C29" t="s">
        <v>18</v>
      </c>
      <c r="D29" t="s">
        <v>22</v>
      </c>
      <c r="E29">
        <v>71</v>
      </c>
      <c r="F29">
        <v>6000</v>
      </c>
      <c r="G29">
        <v>4000</v>
      </c>
      <c r="H29">
        <v>426000</v>
      </c>
      <c r="I29">
        <f t="shared" si="1"/>
        <v>142000</v>
      </c>
    </row>
    <row r="30" spans="1:9" x14ac:dyDescent="0.3">
      <c r="A30" s="3">
        <v>44418</v>
      </c>
      <c r="B30" t="s">
        <v>17</v>
      </c>
      <c r="C30" t="s">
        <v>19</v>
      </c>
      <c r="D30" t="s">
        <v>27</v>
      </c>
      <c r="E30">
        <v>103</v>
      </c>
      <c r="F30">
        <v>600</v>
      </c>
      <c r="G30">
        <v>400</v>
      </c>
      <c r="H30">
        <v>61800</v>
      </c>
      <c r="I30">
        <f t="shared" si="1"/>
        <v>20600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408F9-B8DF-4592-8EBA-BF8522755316}">
  <dimension ref="C15:O20"/>
  <sheetViews>
    <sheetView tabSelected="1" zoomScale="56" zoomScaleNormal="50" workbookViewId="0">
      <selection activeCell="D48" sqref="D48"/>
    </sheetView>
  </sheetViews>
  <sheetFormatPr defaultRowHeight="14.4" x14ac:dyDescent="0.3"/>
  <sheetData>
    <row r="15" spans="3:3" x14ac:dyDescent="0.3">
      <c r="C15" s="6"/>
    </row>
    <row r="20" spans="15:15" ht="18" x14ac:dyDescent="0.35">
      <c r="O20"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sales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AADHI KESAVAN</dc:creator>
  <cp:lastModifiedBy>AADHI KESAVAN</cp:lastModifiedBy>
  <dcterms:created xsi:type="dcterms:W3CDTF">2026-01-21T05:30:00Z</dcterms:created>
  <dcterms:modified xsi:type="dcterms:W3CDTF">2026-01-22T04:05:48Z</dcterms:modified>
</cp:coreProperties>
</file>